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filterPrivacy="1" hidePivotFieldList="1"/>
  <xr:revisionPtr revIDLastSave="0" documentId="8_{33FDEFC4-5530-4C80-8CA3-608D49E0DD92}" xr6:coauthVersionLast="36" xr6:coauthVersionMax="36" xr10:uidLastSave="{00000000-0000-0000-0000-000000000000}"/>
  <bookViews>
    <workbookView xWindow="0" yWindow="0" windowWidth="22260" windowHeight="12645" tabRatio="817" firstSheet="3" activeTab="3" xr2:uid="{00000000-000D-0000-FFFF-FFFF00000000}"/>
  </bookViews>
  <sheets>
    <sheet name="Pivot_Region" sheetId="5" state="hidden" r:id="rId1"/>
    <sheet name="Pivot_Product" sheetId="6" state="hidden" r:id="rId2"/>
    <sheet name="Pivot_Monthly" sheetId="7" state="hidden" r:id="rId3"/>
    <sheet name="Sales_Dashboard" sheetId="9" r:id="rId4"/>
    <sheet name="Pivot_Totalsales" sheetId="11" state="hidden" r:id="rId5"/>
    <sheet name="Pivot_Customers" sheetId="12" state="hidden" r:id="rId6"/>
    <sheet name="RawData" sheetId="2" state="hidden" r:id="rId7"/>
  </sheets>
  <definedNames>
    <definedName name="ExternalData_1" localSheetId="6" hidden="1">RawData!$A$1:$N$501</definedName>
    <definedName name="Slicer_Order_Status">#N/A</definedName>
    <definedName name="Slicer_Payment_Method">#N/A</definedName>
    <definedName name="Slicer_Product">#N/A</definedName>
    <definedName name="Slicer_Region">#N/A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D73C0E-0A2D-4A36-90DF-1431170D744B}" keepAlive="1" name="Query - sales_dataset_500_rows" description="Connection to the 'sales_dataset_500_rows' query in the workbook." type="5" refreshedVersion="6" background="1" saveData="1">
    <dbPr connection="Provider=Microsoft.Mashup.OleDb.1;Data Source=$Workbook$;Location=sales_dataset_500_rows;Extended Properties=&quot;&quot;" command="SELECT * FROM [sales_dataset_500_rows]"/>
  </connection>
</connections>
</file>

<file path=xl/sharedStrings.xml><?xml version="1.0" encoding="utf-8"?>
<sst xmlns="http://schemas.openxmlformats.org/spreadsheetml/2006/main" count="5061" uniqueCount="1992">
  <si>
    <t>Order_ID</t>
  </si>
  <si>
    <t>Order_Date</t>
  </si>
  <si>
    <t>Customer_ID</t>
  </si>
  <si>
    <t>First_Name</t>
  </si>
  <si>
    <t>Last_Name</t>
  </si>
  <si>
    <t>City</t>
  </si>
  <si>
    <t>Region</t>
  </si>
  <si>
    <t>Product</t>
  </si>
  <si>
    <t>Category</t>
  </si>
  <si>
    <t>Quantity</t>
  </si>
  <si>
    <t>Unit_Price</t>
  </si>
  <si>
    <t>Total_Sales</t>
  </si>
  <si>
    <t>Payment_Method</t>
  </si>
  <si>
    <t>Order_Status</t>
  </si>
  <si>
    <t>ORD1000</t>
  </si>
  <si>
    <t>CUST473</t>
  </si>
  <si>
    <t>Bryan</t>
  </si>
  <si>
    <t>Ruiz</t>
  </si>
  <si>
    <t>Leeburgh</t>
  </si>
  <si>
    <t>North</t>
  </si>
  <si>
    <t>Headphones</t>
  </si>
  <si>
    <t>Electronics</t>
  </si>
  <si>
    <t>Cash</t>
  </si>
  <si>
    <t>Completed</t>
  </si>
  <si>
    <t>ORD1001</t>
  </si>
  <si>
    <t>CUST189</t>
  </si>
  <si>
    <t>Darren</t>
  </si>
  <si>
    <t>Hernandez</t>
  </si>
  <si>
    <t>South Tiffany</t>
  </si>
  <si>
    <t>East</t>
  </si>
  <si>
    <t>Tablet</t>
  </si>
  <si>
    <t>Cancelled</t>
  </si>
  <si>
    <t>ORD1002</t>
  </si>
  <si>
    <t>CUST142</t>
  </si>
  <si>
    <t>Jennifer</t>
  </si>
  <si>
    <t>Ray</t>
  </si>
  <si>
    <t>Lake Deborah</t>
  </si>
  <si>
    <t>Mobile</t>
  </si>
  <si>
    <t>Net Banking</t>
  </si>
  <si>
    <t>ORD1003</t>
  </si>
  <si>
    <t>CUST603</t>
  </si>
  <si>
    <t>Angel</t>
  </si>
  <si>
    <t>Nichols</t>
  </si>
  <si>
    <t>Youngton</t>
  </si>
  <si>
    <t>West</t>
  </si>
  <si>
    <t>Smartwatch</t>
  </si>
  <si>
    <t>Returned</t>
  </si>
  <si>
    <t>ORD1004</t>
  </si>
  <si>
    <t>CUST832</t>
  </si>
  <si>
    <t>Eric</t>
  </si>
  <si>
    <t>Peterson</t>
  </si>
  <si>
    <t>Lake Danielberg</t>
  </si>
  <si>
    <t>ORD1005</t>
  </si>
  <si>
    <t>CUST870</t>
  </si>
  <si>
    <t>Seth</t>
  </si>
  <si>
    <t>Miller</t>
  </si>
  <si>
    <t>Murphychester</t>
  </si>
  <si>
    <t>ORD1006</t>
  </si>
  <si>
    <t>CUST223</t>
  </si>
  <si>
    <t>Jason</t>
  </si>
  <si>
    <t>Ramirez</t>
  </si>
  <si>
    <t>Blanchardstad</t>
  </si>
  <si>
    <t>Laptop</t>
  </si>
  <si>
    <t>Debit Card</t>
  </si>
  <si>
    <t>ORD1007</t>
  </si>
  <si>
    <t>CUST961</t>
  </si>
  <si>
    <t>Angela</t>
  </si>
  <si>
    <t>Hall</t>
  </si>
  <si>
    <t>Ricestad</t>
  </si>
  <si>
    <t>ORD1008</t>
  </si>
  <si>
    <t>CUST149</t>
  </si>
  <si>
    <t>Raymond</t>
  </si>
  <si>
    <t>Evans</t>
  </si>
  <si>
    <t>South Loriside</t>
  </si>
  <si>
    <t>Credit Card</t>
  </si>
  <si>
    <t>ORD1009</t>
  </si>
  <si>
    <t>CUST486</t>
  </si>
  <si>
    <t>Mark</t>
  </si>
  <si>
    <t>Taylor</t>
  </si>
  <si>
    <t>Garymouth</t>
  </si>
  <si>
    <t>Printer</t>
  </si>
  <si>
    <t>ORD1010</t>
  </si>
  <si>
    <t>CUST831</t>
  </si>
  <si>
    <t>Ashley</t>
  </si>
  <si>
    <t>Jimenez</t>
  </si>
  <si>
    <t>East Timothy</t>
  </si>
  <si>
    <t>UPI</t>
  </si>
  <si>
    <t>ORD1011</t>
  </si>
  <si>
    <t>CUST311</t>
  </si>
  <si>
    <t>Amy</t>
  </si>
  <si>
    <t>Arnold</t>
  </si>
  <si>
    <t>South Jennifer</t>
  </si>
  <si>
    <t>Camera</t>
  </si>
  <si>
    <t>ORD1012</t>
  </si>
  <si>
    <t>CUST845</t>
  </si>
  <si>
    <t>Murray</t>
  </si>
  <si>
    <t>Kathyview</t>
  </si>
  <si>
    <t>ORD1013</t>
  </si>
  <si>
    <t>CUST350</t>
  </si>
  <si>
    <t>Erik</t>
  </si>
  <si>
    <t>Kelly</t>
  </si>
  <si>
    <t>Jonesfurt</t>
  </si>
  <si>
    <t>South</t>
  </si>
  <si>
    <t>ORD1014</t>
  </si>
  <si>
    <t>CUST364</t>
  </si>
  <si>
    <t>Roger</t>
  </si>
  <si>
    <t>Gutierrez</t>
  </si>
  <si>
    <t>South Lindsay</t>
  </si>
  <si>
    <t>ORD1015</t>
  </si>
  <si>
    <t>CUST353</t>
  </si>
  <si>
    <t>Ronald</t>
  </si>
  <si>
    <t>Chavez</t>
  </si>
  <si>
    <t>Salasburgh</t>
  </si>
  <si>
    <t>ORD1016</t>
  </si>
  <si>
    <t>CUST585</t>
  </si>
  <si>
    <t>Paula</t>
  </si>
  <si>
    <t>Turner</t>
  </si>
  <si>
    <t>New Karenhaven</t>
  </si>
  <si>
    <t>ORD1017</t>
  </si>
  <si>
    <t>CUST247</t>
  </si>
  <si>
    <t>Timothy</t>
  </si>
  <si>
    <t>Davis</t>
  </si>
  <si>
    <t>New Dylanfurt</t>
  </si>
  <si>
    <t>ORD1018</t>
  </si>
  <si>
    <t>CUST600</t>
  </si>
  <si>
    <t>Virginia</t>
  </si>
  <si>
    <t>Phillips</t>
  </si>
  <si>
    <t>North Holly</t>
  </si>
  <si>
    <t>ORD1019</t>
  </si>
  <si>
    <t>CUST926</t>
  </si>
  <si>
    <t>Paul</t>
  </si>
  <si>
    <t>Smith</t>
  </si>
  <si>
    <t>Port Brandonport</t>
  </si>
  <si>
    <t>ORD1020</t>
  </si>
  <si>
    <t>CUST609</t>
  </si>
  <si>
    <t>Adam</t>
  </si>
  <si>
    <t>Moore</t>
  </si>
  <si>
    <t>Smithville</t>
  </si>
  <si>
    <t>ORD1021</t>
  </si>
  <si>
    <t>CUST239</t>
  </si>
  <si>
    <t>Larry</t>
  </si>
  <si>
    <t>Myers</t>
  </si>
  <si>
    <t>Port Jimmy</t>
  </si>
  <si>
    <t>ORD1022</t>
  </si>
  <si>
    <t>CUST462</t>
  </si>
  <si>
    <t>Lisa</t>
  </si>
  <si>
    <t>Hawkins</t>
  </si>
  <si>
    <t>East Sarah</t>
  </si>
  <si>
    <t>ORD1023</t>
  </si>
  <si>
    <t>CUST551</t>
  </si>
  <si>
    <t>Michael</t>
  </si>
  <si>
    <t>Ellison</t>
  </si>
  <si>
    <t>Shaunbury</t>
  </si>
  <si>
    <t>ORD1024</t>
  </si>
  <si>
    <t>CUST519</t>
  </si>
  <si>
    <t>Craig</t>
  </si>
  <si>
    <t>Cummings</t>
  </si>
  <si>
    <t>Estradaview</t>
  </si>
  <si>
    <t>ORD1025</t>
  </si>
  <si>
    <t>CUST500</t>
  </si>
  <si>
    <t>Velasquez</t>
  </si>
  <si>
    <t>North Victoriafurt</t>
  </si>
  <si>
    <t>ORD1026</t>
  </si>
  <si>
    <t>CUST435</t>
  </si>
  <si>
    <t>Teresa</t>
  </si>
  <si>
    <t>Robinson</t>
  </si>
  <si>
    <t>Martinezstad</t>
  </si>
  <si>
    <t>ORD1027</t>
  </si>
  <si>
    <t>CUST834</t>
  </si>
  <si>
    <t>April</t>
  </si>
  <si>
    <t>Morgan</t>
  </si>
  <si>
    <t>Huntfort</t>
  </si>
  <si>
    <t>ORD1028</t>
  </si>
  <si>
    <t>CUST281</t>
  </si>
  <si>
    <t>Nicholas</t>
  </si>
  <si>
    <t>Coleman</t>
  </si>
  <si>
    <t>Wilsonfort</t>
  </si>
  <si>
    <t>ORD1029</t>
  </si>
  <si>
    <t>CUST318</t>
  </si>
  <si>
    <t>Gabriel</t>
  </si>
  <si>
    <t>Serrano</t>
  </si>
  <si>
    <t>Johnhaven</t>
  </si>
  <si>
    <t>ORD1030</t>
  </si>
  <si>
    <t>CUST738</t>
  </si>
  <si>
    <t>William</t>
  </si>
  <si>
    <t>Collins</t>
  </si>
  <si>
    <t>South Cynthia</t>
  </si>
  <si>
    <t>ORD1031</t>
  </si>
  <si>
    <t>CUST538</t>
  </si>
  <si>
    <t>Julian</t>
  </si>
  <si>
    <t>Jenkins</t>
  </si>
  <si>
    <t>Johnsonstad</t>
  </si>
  <si>
    <t>ORD1032</t>
  </si>
  <si>
    <t>CUST541</t>
  </si>
  <si>
    <t>Ralph</t>
  </si>
  <si>
    <t>Lake Christopher</t>
  </si>
  <si>
    <t>ORD1033</t>
  </si>
  <si>
    <t>CUST975</t>
  </si>
  <si>
    <t>Stacey</t>
  </si>
  <si>
    <t>Ball</t>
  </si>
  <si>
    <t>Joelville</t>
  </si>
  <si>
    <t>ORD1034</t>
  </si>
  <si>
    <t>CUST507</t>
  </si>
  <si>
    <t>Julia</t>
  </si>
  <si>
    <t>Sancheztown</t>
  </si>
  <si>
    <t>ORD1035</t>
  </si>
  <si>
    <t>CUST677</t>
  </si>
  <si>
    <t>Dustin</t>
  </si>
  <si>
    <t>Wright</t>
  </si>
  <si>
    <t>South Bretttown</t>
  </si>
  <si>
    <t>ORD1036</t>
  </si>
  <si>
    <t>CUST218</t>
  </si>
  <si>
    <t>Tiffany</t>
  </si>
  <si>
    <t>Farmer</t>
  </si>
  <si>
    <t>Pierceville</t>
  </si>
  <si>
    <t>ORD1037</t>
  </si>
  <si>
    <t>CUST744</t>
  </si>
  <si>
    <t>Cody Parker</t>
  </si>
  <si>
    <t>MD</t>
  </si>
  <si>
    <t>Robinsonborough</t>
  </si>
  <si>
    <t>ORD1038</t>
  </si>
  <si>
    <t>CUST731</t>
  </si>
  <si>
    <t>Andres</t>
  </si>
  <si>
    <t>Morris</t>
  </si>
  <si>
    <t>North Samuelchester</t>
  </si>
  <si>
    <t>ORD1039</t>
  </si>
  <si>
    <t>CUST768</t>
  </si>
  <si>
    <t>Julie</t>
  </si>
  <si>
    <t>Anderson</t>
  </si>
  <si>
    <t>South Matthewfort</t>
  </si>
  <si>
    <t>ORD1040</t>
  </si>
  <si>
    <t>CUST707</t>
  </si>
  <si>
    <t>Elijah</t>
  </si>
  <si>
    <t>Terrell</t>
  </si>
  <si>
    <t>New Ronaldport</t>
  </si>
  <si>
    <t>ORD1041</t>
  </si>
  <si>
    <t>CUST264</t>
  </si>
  <si>
    <t>Mike</t>
  </si>
  <si>
    <t>Roberttown</t>
  </si>
  <si>
    <t>ORD1042</t>
  </si>
  <si>
    <t>CUST125</t>
  </si>
  <si>
    <t>Walker</t>
  </si>
  <si>
    <t>East Jason</t>
  </si>
  <si>
    <t>ORD1043</t>
  </si>
  <si>
    <t>CUST130</t>
  </si>
  <si>
    <t>Ricky</t>
  </si>
  <si>
    <t>Simpson</t>
  </si>
  <si>
    <t>Snyderland</t>
  </si>
  <si>
    <t>ORD1044</t>
  </si>
  <si>
    <t>CUST944</t>
  </si>
  <si>
    <t>Katherine</t>
  </si>
  <si>
    <t>Melendez</t>
  </si>
  <si>
    <t>Friedmanview</t>
  </si>
  <si>
    <t>ORD1045</t>
  </si>
  <si>
    <t>CUST766</t>
  </si>
  <si>
    <t>Kimberly</t>
  </si>
  <si>
    <t>Snow</t>
  </si>
  <si>
    <t>West Jessica</t>
  </si>
  <si>
    <t>ORD1046</t>
  </si>
  <si>
    <t>CUST282</t>
  </si>
  <si>
    <t>Newman</t>
  </si>
  <si>
    <t>Russellside</t>
  </si>
  <si>
    <t>ORD1047</t>
  </si>
  <si>
    <t>CUST484</t>
  </si>
  <si>
    <t>Alexis</t>
  </si>
  <si>
    <t>Carroll</t>
  </si>
  <si>
    <t>Petersberg</t>
  </si>
  <si>
    <t>ORD1048</t>
  </si>
  <si>
    <t>CUST139</t>
  </si>
  <si>
    <t>Megan</t>
  </si>
  <si>
    <t>East Andreahaven</t>
  </si>
  <si>
    <t>ORD1049</t>
  </si>
  <si>
    <t>CUST854</t>
  </si>
  <si>
    <t>Robert</t>
  </si>
  <si>
    <t>West Antonio</t>
  </si>
  <si>
    <t>ORD1050</t>
  </si>
  <si>
    <t>CUST522</t>
  </si>
  <si>
    <t>Jackson</t>
  </si>
  <si>
    <t>Lake Jessica</t>
  </si>
  <si>
    <t>ORD1051</t>
  </si>
  <si>
    <t>Nicole</t>
  </si>
  <si>
    <t>Thomas</t>
  </si>
  <si>
    <t>Thomasberg</t>
  </si>
  <si>
    <t>ORD1052</t>
  </si>
  <si>
    <t>CUST846</t>
  </si>
  <si>
    <t>Fox</t>
  </si>
  <si>
    <t>Summerschester</t>
  </si>
  <si>
    <t>ORD1053</t>
  </si>
  <si>
    <t>CUST626</t>
  </si>
  <si>
    <t>Catherine</t>
  </si>
  <si>
    <t>Levine</t>
  </si>
  <si>
    <t>Greenefort</t>
  </si>
  <si>
    <t>ORD1054</t>
  </si>
  <si>
    <t>CUST528</t>
  </si>
  <si>
    <t>West Francis</t>
  </si>
  <si>
    <t>ORD1055</t>
  </si>
  <si>
    <t>CUST258</t>
  </si>
  <si>
    <t>Crystal</t>
  </si>
  <si>
    <t>East Cliffordview</t>
  </si>
  <si>
    <t>ORD1056</t>
  </si>
  <si>
    <t>CUST545</t>
  </si>
  <si>
    <t>Sims</t>
  </si>
  <si>
    <t>Sherryburgh</t>
  </si>
  <si>
    <t>ORD1057</t>
  </si>
  <si>
    <t>CUST617</t>
  </si>
  <si>
    <t>Christopher</t>
  </si>
  <si>
    <t>Shannonville</t>
  </si>
  <si>
    <t>ORD1058</t>
  </si>
  <si>
    <t>CUST896</t>
  </si>
  <si>
    <t>Tracy</t>
  </si>
  <si>
    <t>Bauer</t>
  </si>
  <si>
    <t>Aaronburgh</t>
  </si>
  <si>
    <t>ORD1059</t>
  </si>
  <si>
    <t>CUST614</t>
  </si>
  <si>
    <t>Lake Ashley</t>
  </si>
  <si>
    <t>ORD1060</t>
  </si>
  <si>
    <t>CUST618</t>
  </si>
  <si>
    <t>Anthony</t>
  </si>
  <si>
    <t>Garner</t>
  </si>
  <si>
    <t>Deannaberg</t>
  </si>
  <si>
    <t>ORD1061</t>
  </si>
  <si>
    <t>CUST790</t>
  </si>
  <si>
    <t>Mandy</t>
  </si>
  <si>
    <t>Davidson</t>
  </si>
  <si>
    <t>West Stephenhaven</t>
  </si>
  <si>
    <t>ORD1062</t>
  </si>
  <si>
    <t>CUST820</t>
  </si>
  <si>
    <t>Jacob</t>
  </si>
  <si>
    <t>Juarezbury</t>
  </si>
  <si>
    <t>ORD1063</t>
  </si>
  <si>
    <t>CUST433</t>
  </si>
  <si>
    <t>Lake Anthonyland</t>
  </si>
  <si>
    <t>ORD1064</t>
  </si>
  <si>
    <t>CUST665</t>
  </si>
  <si>
    <t>Marissa</t>
  </si>
  <si>
    <t>North Leahland</t>
  </si>
  <si>
    <t>ORD1065</t>
  </si>
  <si>
    <t>CUST791</t>
  </si>
  <si>
    <t>Kenneth</t>
  </si>
  <si>
    <t>Sanchez</t>
  </si>
  <si>
    <t>Terrytown</t>
  </si>
  <si>
    <t>ORD1066</t>
  </si>
  <si>
    <t>CUST919</t>
  </si>
  <si>
    <t>Diane</t>
  </si>
  <si>
    <t>Haynes</t>
  </si>
  <si>
    <t>Davisborough</t>
  </si>
  <si>
    <t>ORD1067</t>
  </si>
  <si>
    <t>CUST208</t>
  </si>
  <si>
    <t>Kirk</t>
  </si>
  <si>
    <t>Carr</t>
  </si>
  <si>
    <t>North Pamelastad</t>
  </si>
  <si>
    <t>ORD1068</t>
  </si>
  <si>
    <t>CUST984</t>
  </si>
  <si>
    <t>Port Kimberlystad</t>
  </si>
  <si>
    <t>ORD1069</t>
  </si>
  <si>
    <t>CUST253</t>
  </si>
  <si>
    <t>Beth</t>
  </si>
  <si>
    <t>Newton</t>
  </si>
  <si>
    <t>Jeffreyberg</t>
  </si>
  <si>
    <t>ORD1070</t>
  </si>
  <si>
    <t>CUST503</t>
  </si>
  <si>
    <t>Richard</t>
  </si>
  <si>
    <t>Lake Mackenzieland</t>
  </si>
  <si>
    <t>ORD1071</t>
  </si>
  <si>
    <t>CUST150</t>
  </si>
  <si>
    <t>Randall</t>
  </si>
  <si>
    <t>Joseph</t>
  </si>
  <si>
    <t>Charlenemouth</t>
  </si>
  <si>
    <t>ORD1072</t>
  </si>
  <si>
    <t>CUST312</t>
  </si>
  <si>
    <t>Thompson</t>
  </si>
  <si>
    <t>Port Keith</t>
  </si>
  <si>
    <t>ORD1073</t>
  </si>
  <si>
    <t>CUST718</t>
  </si>
  <si>
    <t>Martinez</t>
  </si>
  <si>
    <t>Ryanside</t>
  </si>
  <si>
    <t>ORD1074</t>
  </si>
  <si>
    <t>CUST620</t>
  </si>
  <si>
    <t>Brian</t>
  </si>
  <si>
    <t>Salinas</t>
  </si>
  <si>
    <t>New Sandra</t>
  </si>
  <si>
    <t>ORD1075</t>
  </si>
  <si>
    <t>CUST284</t>
  </si>
  <si>
    <t>Melissa</t>
  </si>
  <si>
    <t>Ortiz</t>
  </si>
  <si>
    <t>Reeseview</t>
  </si>
  <si>
    <t>ORD1076</t>
  </si>
  <si>
    <t>CUST177</t>
  </si>
  <si>
    <t>Lewis</t>
  </si>
  <si>
    <t>Michaelstad</t>
  </si>
  <si>
    <t>ORD1077</t>
  </si>
  <si>
    <t>CUST977</t>
  </si>
  <si>
    <t>Keith</t>
  </si>
  <si>
    <t>Boone</t>
  </si>
  <si>
    <t>Lake Kevinview</t>
  </si>
  <si>
    <t>ORD1078</t>
  </si>
  <si>
    <t>CUST497</t>
  </si>
  <si>
    <t>Christy</t>
  </si>
  <si>
    <t>Kellybury</t>
  </si>
  <si>
    <t>ORD1079</t>
  </si>
  <si>
    <t>CUST670</t>
  </si>
  <si>
    <t>Scott</t>
  </si>
  <si>
    <t>Welch</t>
  </si>
  <si>
    <t>Antonioland</t>
  </si>
  <si>
    <t>ORD1080</t>
  </si>
  <si>
    <t>CUST368</t>
  </si>
  <si>
    <t>Cortez</t>
  </si>
  <si>
    <t>West Amandaport</t>
  </si>
  <si>
    <t>ORD1081</t>
  </si>
  <si>
    <t>CUST354</t>
  </si>
  <si>
    <t>Sandra</t>
  </si>
  <si>
    <t>Noble</t>
  </si>
  <si>
    <t>Stevenfort</t>
  </si>
  <si>
    <t>ORD1082</t>
  </si>
  <si>
    <t>CUST666</t>
  </si>
  <si>
    <t>Collin</t>
  </si>
  <si>
    <t>Garcia</t>
  </si>
  <si>
    <t>New Allisonport</t>
  </si>
  <si>
    <t>ORD1083</t>
  </si>
  <si>
    <t>Robles</t>
  </si>
  <si>
    <t>South Kimberly</t>
  </si>
  <si>
    <t>ORD1084</t>
  </si>
  <si>
    <t>Philip</t>
  </si>
  <si>
    <t>Chandler</t>
  </si>
  <si>
    <t>Floreston</t>
  </si>
  <si>
    <t>ORD1085</t>
  </si>
  <si>
    <t>CUST317</t>
  </si>
  <si>
    <t>Mr. Cody</t>
  </si>
  <si>
    <t>Stewart</t>
  </si>
  <si>
    <t>South Michael</t>
  </si>
  <si>
    <t>ORD1086</t>
  </si>
  <si>
    <t>CUST830</t>
  </si>
  <si>
    <t>Luis</t>
  </si>
  <si>
    <t>Conley</t>
  </si>
  <si>
    <t>Christieberg</t>
  </si>
  <si>
    <t>ORD1087</t>
  </si>
  <si>
    <t>CUST891</t>
  </si>
  <si>
    <t>Brandon</t>
  </si>
  <si>
    <t>Shannonport</t>
  </si>
  <si>
    <t>ORD1088</t>
  </si>
  <si>
    <t>CUST849</t>
  </si>
  <si>
    <t>Ford</t>
  </si>
  <si>
    <t>West Sean</t>
  </si>
  <si>
    <t>ORD1089</t>
  </si>
  <si>
    <t>CUST333</t>
  </si>
  <si>
    <t>Leonard</t>
  </si>
  <si>
    <t>Andrews</t>
  </si>
  <si>
    <t>Arellanoport</t>
  </si>
  <si>
    <t>ORD1090</t>
  </si>
  <si>
    <t>CUST383</t>
  </si>
  <si>
    <t>Jones</t>
  </si>
  <si>
    <t>South Matthew</t>
  </si>
  <si>
    <t>ORD1091</t>
  </si>
  <si>
    <t>CUST828</t>
  </si>
  <si>
    <t>Dalton</t>
  </si>
  <si>
    <t>Deanshire</t>
  </si>
  <si>
    <t>ORD1092</t>
  </si>
  <si>
    <t>CUST655</t>
  </si>
  <si>
    <t>Osborn</t>
  </si>
  <si>
    <t>North Adam</t>
  </si>
  <si>
    <t>ORD1093</t>
  </si>
  <si>
    <t>CUST361</t>
  </si>
  <si>
    <t>Victoria</t>
  </si>
  <si>
    <t>Staceyville</t>
  </si>
  <si>
    <t>ORD1094</t>
  </si>
  <si>
    <t>CUST648</t>
  </si>
  <si>
    <t>Cook</t>
  </si>
  <si>
    <t>East Connie</t>
  </si>
  <si>
    <t>ORD1095</t>
  </si>
  <si>
    <t>CUST577</t>
  </si>
  <si>
    <t>Price</t>
  </si>
  <si>
    <t>Mikestad</t>
  </si>
  <si>
    <t>ORD1096</t>
  </si>
  <si>
    <t>Kyle</t>
  </si>
  <si>
    <t>Campbell</t>
  </si>
  <si>
    <t>Anthonyburgh</t>
  </si>
  <si>
    <t>ORD1097</t>
  </si>
  <si>
    <t>CUST587</t>
  </si>
  <si>
    <t>Dillon</t>
  </si>
  <si>
    <t>Bellton</t>
  </si>
  <si>
    <t>ORD1098</t>
  </si>
  <si>
    <t>CUST504</t>
  </si>
  <si>
    <t>Justin</t>
  </si>
  <si>
    <t>Bryant</t>
  </si>
  <si>
    <t>Weaverland</t>
  </si>
  <si>
    <t>ORD1099</t>
  </si>
  <si>
    <t>CUST999</t>
  </si>
  <si>
    <t>David</t>
  </si>
  <si>
    <t>Johnson</t>
  </si>
  <si>
    <t>Lake Timothyland</t>
  </si>
  <si>
    <t>ORD1100</t>
  </si>
  <si>
    <t>CUST487</t>
  </si>
  <si>
    <t>Ryan Hickman</t>
  </si>
  <si>
    <t>Jr.</t>
  </si>
  <si>
    <t>Garciahaven</t>
  </si>
  <si>
    <t>ORD1101</t>
  </si>
  <si>
    <t>CUST833</t>
  </si>
  <si>
    <t>Marilyn</t>
  </si>
  <si>
    <t>Riley</t>
  </si>
  <si>
    <t>South Allenhaven</t>
  </si>
  <si>
    <t>ORD1102</t>
  </si>
  <si>
    <t>CUST904</t>
  </si>
  <si>
    <t>Bruce</t>
  </si>
  <si>
    <t>Payne</t>
  </si>
  <si>
    <t>Blakeshire</t>
  </si>
  <si>
    <t>ORD1103</t>
  </si>
  <si>
    <t>CUST269</t>
  </si>
  <si>
    <t>Tina</t>
  </si>
  <si>
    <t>Ross</t>
  </si>
  <si>
    <t>Jessicaborough</t>
  </si>
  <si>
    <t>ORD1104</t>
  </si>
  <si>
    <t>CUST769</t>
  </si>
  <si>
    <t>Wendy</t>
  </si>
  <si>
    <t>Medina</t>
  </si>
  <si>
    <t>West Haleyborough</t>
  </si>
  <si>
    <t>ORD1105</t>
  </si>
  <si>
    <t>CUST781</t>
  </si>
  <si>
    <t>Rodriguez</t>
  </si>
  <si>
    <t>North Kyleborough</t>
  </si>
  <si>
    <t>ORD1106</t>
  </si>
  <si>
    <t>CUST914</t>
  </si>
  <si>
    <t>Kevin</t>
  </si>
  <si>
    <t>Bell</t>
  </si>
  <si>
    <t>West Angela</t>
  </si>
  <si>
    <t>ORD1107</t>
  </si>
  <si>
    <t>CUST452</t>
  </si>
  <si>
    <t>Cheryl</t>
  </si>
  <si>
    <t>Curry</t>
  </si>
  <si>
    <t>Lake Philip</t>
  </si>
  <si>
    <t>ORD1108</t>
  </si>
  <si>
    <t>CUST114</t>
  </si>
  <si>
    <t>Chelsea</t>
  </si>
  <si>
    <t>Vega</t>
  </si>
  <si>
    <t>West Crystal</t>
  </si>
  <si>
    <t>ORD1109</t>
  </si>
  <si>
    <t>CUST770</t>
  </si>
  <si>
    <t>Lake Jason</t>
  </si>
  <si>
    <t>ORD1110</t>
  </si>
  <si>
    <t>CUST453</t>
  </si>
  <si>
    <t>Terry</t>
  </si>
  <si>
    <t>Williams</t>
  </si>
  <si>
    <t>Nelsonhaven</t>
  </si>
  <si>
    <t>ORD1111</t>
  </si>
  <si>
    <t>CUST468</t>
  </si>
  <si>
    <t>White</t>
  </si>
  <si>
    <t>Brucetown</t>
  </si>
  <si>
    <t>ORD1112</t>
  </si>
  <si>
    <t>CUST285</t>
  </si>
  <si>
    <t>James</t>
  </si>
  <si>
    <t>Wilson</t>
  </si>
  <si>
    <t>North Robert</t>
  </si>
  <si>
    <t>ORD1113</t>
  </si>
  <si>
    <t>Alexandra</t>
  </si>
  <si>
    <t>Lam</t>
  </si>
  <si>
    <t>South Joseph</t>
  </si>
  <si>
    <t>ORD1114</t>
  </si>
  <si>
    <t>CUST485</t>
  </si>
  <si>
    <t>Mrs. Brianna</t>
  </si>
  <si>
    <t>East Maria</t>
  </si>
  <si>
    <t>ORD1115</t>
  </si>
  <si>
    <t>CUST375</t>
  </si>
  <si>
    <t>Mary</t>
  </si>
  <si>
    <t>Sweeney</t>
  </si>
  <si>
    <t>Crawfordside</t>
  </si>
  <si>
    <t>ORD1116</t>
  </si>
  <si>
    <t>CUST773</t>
  </si>
  <si>
    <t>Allen</t>
  </si>
  <si>
    <t>West Jamie</t>
  </si>
  <si>
    <t>ORD1117</t>
  </si>
  <si>
    <t>CUST426</t>
  </si>
  <si>
    <t>Bowman</t>
  </si>
  <si>
    <t>Hollandshire</t>
  </si>
  <si>
    <t>ORD1118</t>
  </si>
  <si>
    <t>Corey</t>
  </si>
  <si>
    <t>Sanders</t>
  </si>
  <si>
    <t>South Destinyfort</t>
  </si>
  <si>
    <t>ORD1119</t>
  </si>
  <si>
    <t>CUST406</t>
  </si>
  <si>
    <t>Lyons</t>
  </si>
  <si>
    <t>Joelmouth</t>
  </si>
  <si>
    <t>ORD1120</t>
  </si>
  <si>
    <t>CUST748</t>
  </si>
  <si>
    <t>Sarah</t>
  </si>
  <si>
    <t>Vance</t>
  </si>
  <si>
    <t>Lake Paul</t>
  </si>
  <si>
    <t>ORD1121</t>
  </si>
  <si>
    <t>CUST678</t>
  </si>
  <si>
    <t>Mrs. Amanda</t>
  </si>
  <si>
    <t>Hubbard</t>
  </si>
  <si>
    <t>New Leahhaven</t>
  </si>
  <si>
    <t>ORD1122</t>
  </si>
  <si>
    <t>CUST826</t>
  </si>
  <si>
    <t>Torres</t>
  </si>
  <si>
    <t>Port Charles</t>
  </si>
  <si>
    <t>ORD1123</t>
  </si>
  <si>
    <t>CUST612</t>
  </si>
  <si>
    <t>Pam</t>
  </si>
  <si>
    <t>Cooper</t>
  </si>
  <si>
    <t>Jeffreymouth</t>
  </si>
  <si>
    <t>ORD1124</t>
  </si>
  <si>
    <t>Romero</t>
  </si>
  <si>
    <t>New Mary</t>
  </si>
  <si>
    <t>ORD1125</t>
  </si>
  <si>
    <t>CUST712</t>
  </si>
  <si>
    <t>Port Tracy</t>
  </si>
  <si>
    <t>ORD1126</t>
  </si>
  <si>
    <t>Joshua</t>
  </si>
  <si>
    <t>Neal</t>
  </si>
  <si>
    <t>New Nicholas</t>
  </si>
  <si>
    <t>ORD1127</t>
  </si>
  <si>
    <t>CUST824</t>
  </si>
  <si>
    <t>Matthew</t>
  </si>
  <si>
    <t>Adkins</t>
  </si>
  <si>
    <t>Lake Carlos</t>
  </si>
  <si>
    <t>ORD1128</t>
  </si>
  <si>
    <t>CUST540</t>
  </si>
  <si>
    <t>Keller</t>
  </si>
  <si>
    <t>West Tammyland</t>
  </si>
  <si>
    <t>ORD1129</t>
  </si>
  <si>
    <t>CUST659</t>
  </si>
  <si>
    <t>Patrick</t>
  </si>
  <si>
    <t>Collier</t>
  </si>
  <si>
    <t>New Alexandertown</t>
  </si>
  <si>
    <t>ORD1130</t>
  </si>
  <si>
    <t>Dr. Angela</t>
  </si>
  <si>
    <t>Horton</t>
  </si>
  <si>
    <t>Keithfort</t>
  </si>
  <si>
    <t>ORD1131</t>
  </si>
  <si>
    <t>CUST643</t>
  </si>
  <si>
    <t>Samantha</t>
  </si>
  <si>
    <t>Rivera</t>
  </si>
  <si>
    <t>West Heather</t>
  </si>
  <si>
    <t>ORD1132</t>
  </si>
  <si>
    <t>CUST261</t>
  </si>
  <si>
    <t>Kidd</t>
  </si>
  <si>
    <t>Ryanburgh</t>
  </si>
  <si>
    <t>ORD1133</t>
  </si>
  <si>
    <t>CUST923</t>
  </si>
  <si>
    <t>Stevenson</t>
  </si>
  <si>
    <t>East Kaitlyn</t>
  </si>
  <si>
    <t>ORD1134</t>
  </si>
  <si>
    <t>CUST481</t>
  </si>
  <si>
    <t>Andrew</t>
  </si>
  <si>
    <t>Kimberg</t>
  </si>
  <si>
    <t>ORD1135</t>
  </si>
  <si>
    <t>CUST243</t>
  </si>
  <si>
    <t>Roy</t>
  </si>
  <si>
    <t>Barajas</t>
  </si>
  <si>
    <t>West Christine</t>
  </si>
  <si>
    <t>ORD1136</t>
  </si>
  <si>
    <t>CUST871</t>
  </si>
  <si>
    <t>Robin</t>
  </si>
  <si>
    <t>Ramos</t>
  </si>
  <si>
    <t>Port Linda</t>
  </si>
  <si>
    <t>ORD1137</t>
  </si>
  <si>
    <t>CUST563</t>
  </si>
  <si>
    <t>Alejandro</t>
  </si>
  <si>
    <t>Webb</t>
  </si>
  <si>
    <t>Pattersonfort</t>
  </si>
  <si>
    <t>ORD1138</t>
  </si>
  <si>
    <t>CUST739</t>
  </si>
  <si>
    <t>Kayla</t>
  </si>
  <si>
    <t>Mills</t>
  </si>
  <si>
    <t>East Shawntown</t>
  </si>
  <si>
    <t>ORD1139</t>
  </si>
  <si>
    <t>CUST308</t>
  </si>
  <si>
    <t>Brittany</t>
  </si>
  <si>
    <t>Mercado</t>
  </si>
  <si>
    <t>Jackieview</t>
  </si>
  <si>
    <t>ORD1140</t>
  </si>
  <si>
    <t>CUST221</t>
  </si>
  <si>
    <t>East Shawn</t>
  </si>
  <si>
    <t>ORD1141</t>
  </si>
  <si>
    <t>CUST408</t>
  </si>
  <si>
    <t>Tim</t>
  </si>
  <si>
    <t>Coxbury</t>
  </si>
  <si>
    <t>ORD1142</t>
  </si>
  <si>
    <t>CUST756</t>
  </si>
  <si>
    <t>Angiemouth</t>
  </si>
  <si>
    <t>ORD1143</t>
  </si>
  <si>
    <t>Kaylee</t>
  </si>
  <si>
    <t>Fisher</t>
  </si>
  <si>
    <t>Nicholasfurt</t>
  </si>
  <si>
    <t>ORD1144</t>
  </si>
  <si>
    <t>CUST515</t>
  </si>
  <si>
    <t>Garza</t>
  </si>
  <si>
    <t>New Rayland</t>
  </si>
  <si>
    <t>ORD1145</t>
  </si>
  <si>
    <t>CUST345</t>
  </si>
  <si>
    <t>Mosley</t>
  </si>
  <si>
    <t>Karishire</t>
  </si>
  <si>
    <t>ORD1146</t>
  </si>
  <si>
    <t>CUST993</t>
  </si>
  <si>
    <t>Jessica</t>
  </si>
  <si>
    <t>Mullins</t>
  </si>
  <si>
    <t>Hamptonfort</t>
  </si>
  <si>
    <t>ORD1147</t>
  </si>
  <si>
    <t>CUST730</t>
  </si>
  <si>
    <t>North Randy</t>
  </si>
  <si>
    <t>ORD1148</t>
  </si>
  <si>
    <t>CUST814</t>
  </si>
  <si>
    <t>Jared</t>
  </si>
  <si>
    <t>Hogan</t>
  </si>
  <si>
    <t>Jacobport</t>
  </si>
  <si>
    <t>ORD1149</t>
  </si>
  <si>
    <t>CUST141</t>
  </si>
  <si>
    <t>Michelle</t>
  </si>
  <si>
    <t>Lester</t>
  </si>
  <si>
    <t>North Nancy</t>
  </si>
  <si>
    <t>ORD1150</t>
  </si>
  <si>
    <t>CUST947</t>
  </si>
  <si>
    <t>Dixon</t>
  </si>
  <si>
    <t>Lake Glenport</t>
  </si>
  <si>
    <t>ORD1151</t>
  </si>
  <si>
    <t>CUST995</t>
  </si>
  <si>
    <t>Underwood</t>
  </si>
  <si>
    <t>East Matthew</t>
  </si>
  <si>
    <t>ORD1152</t>
  </si>
  <si>
    <t>CUST980</t>
  </si>
  <si>
    <t>Kathryn</t>
  </si>
  <si>
    <t>Orozco</t>
  </si>
  <si>
    <t>Martinezland</t>
  </si>
  <si>
    <t>ORD1153</t>
  </si>
  <si>
    <t>CUST786</t>
  </si>
  <si>
    <t>Douglas</t>
  </si>
  <si>
    <t>Powers</t>
  </si>
  <si>
    <t>East Cassandrahaven</t>
  </si>
  <si>
    <t>ORD1154</t>
  </si>
  <si>
    <t>CUST463</t>
  </si>
  <si>
    <t>Linda</t>
  </si>
  <si>
    <t>Tate</t>
  </si>
  <si>
    <t>Charlesville</t>
  </si>
  <si>
    <t>ORD1155</t>
  </si>
  <si>
    <t>CUST676</t>
  </si>
  <si>
    <t>Stacy</t>
  </si>
  <si>
    <t>Barrett</t>
  </si>
  <si>
    <t>Kathyberg</t>
  </si>
  <si>
    <t>ORD1156</t>
  </si>
  <si>
    <t>CUST637</t>
  </si>
  <si>
    <t>Gary</t>
  </si>
  <si>
    <t>Taylorborough</t>
  </si>
  <si>
    <t>ORD1157</t>
  </si>
  <si>
    <t>CUST865</t>
  </si>
  <si>
    <t>Jodi</t>
  </si>
  <si>
    <t>East Desireeborough</t>
  </si>
  <si>
    <t>ORD1158</t>
  </si>
  <si>
    <t>CUST628</t>
  </si>
  <si>
    <t>Stephanie</t>
  </si>
  <si>
    <t>Oliver</t>
  </si>
  <si>
    <t>South Nancytown</t>
  </si>
  <si>
    <t>ORD1159</t>
  </si>
  <si>
    <t>CUST179</t>
  </si>
  <si>
    <t>Daniel</t>
  </si>
  <si>
    <t>Richardburgh</t>
  </si>
  <si>
    <t>ORD1160</t>
  </si>
  <si>
    <t>CUST206</t>
  </si>
  <si>
    <t>Bond</t>
  </si>
  <si>
    <t>Madisonside</t>
  </si>
  <si>
    <t>ORD1161</t>
  </si>
  <si>
    <t>CUST640</t>
  </si>
  <si>
    <t>Odom</t>
  </si>
  <si>
    <t>Lake Cynthiaton</t>
  </si>
  <si>
    <t>ORD1162</t>
  </si>
  <si>
    <t>CUST882</t>
  </si>
  <si>
    <t>Susan</t>
  </si>
  <si>
    <t>Santos</t>
  </si>
  <si>
    <t>Sandraville</t>
  </si>
  <si>
    <t>ORD1163</t>
  </si>
  <si>
    <t>Cardenas</t>
  </si>
  <si>
    <t>Catherinefurt</t>
  </si>
  <si>
    <t>ORD1164</t>
  </si>
  <si>
    <t>CUST249</t>
  </si>
  <si>
    <t>Desiree</t>
  </si>
  <si>
    <t>Lake Samantha</t>
  </si>
  <si>
    <t>ORD1165</t>
  </si>
  <si>
    <t>Elizabeth</t>
  </si>
  <si>
    <t>East Gary</t>
  </si>
  <si>
    <t>ORD1166</t>
  </si>
  <si>
    <t>CUST525</t>
  </si>
  <si>
    <t>Natalie</t>
  </si>
  <si>
    <t>Park</t>
  </si>
  <si>
    <t>East Christina</t>
  </si>
  <si>
    <t>ORD1167</t>
  </si>
  <si>
    <t>CUST176</t>
  </si>
  <si>
    <t>Whitney</t>
  </si>
  <si>
    <t>Ericborough</t>
  </si>
  <si>
    <t>ORD1168</t>
  </si>
  <si>
    <t>CUST166</t>
  </si>
  <si>
    <t>Valenzuela</t>
  </si>
  <si>
    <t>West Scotthaven</t>
  </si>
  <si>
    <t>ORD1169</t>
  </si>
  <si>
    <t>Veronica</t>
  </si>
  <si>
    <t>Wise</t>
  </si>
  <si>
    <t>Wagnerhaven</t>
  </si>
  <si>
    <t>ORD1170</t>
  </si>
  <si>
    <t>CUST672</t>
  </si>
  <si>
    <t>Lauren</t>
  </si>
  <si>
    <t>Mclaughlinton</t>
  </si>
  <si>
    <t>ORD1171</t>
  </si>
  <si>
    <t>Anna</t>
  </si>
  <si>
    <t>ORD1172</t>
  </si>
  <si>
    <t>CUST880</t>
  </si>
  <si>
    <t>Gregg</t>
  </si>
  <si>
    <t>Perez</t>
  </si>
  <si>
    <t>Briannastad</t>
  </si>
  <si>
    <t>ORD1173</t>
  </si>
  <si>
    <t>Peter</t>
  </si>
  <si>
    <t>Mirandatown</t>
  </si>
  <si>
    <t>ORD1174</t>
  </si>
  <si>
    <t>CUST569</t>
  </si>
  <si>
    <t>Brennan</t>
  </si>
  <si>
    <t>East Monique</t>
  </si>
  <si>
    <t>ORD1175</t>
  </si>
  <si>
    <t>South Paulchester</t>
  </si>
  <si>
    <t>ORD1176</t>
  </si>
  <si>
    <t>CUST622</t>
  </si>
  <si>
    <t>Kathy</t>
  </si>
  <si>
    <t>Williamsfort</t>
  </si>
  <si>
    <t>ORD1177</t>
  </si>
  <si>
    <t>CUST818</t>
  </si>
  <si>
    <t>Port Petershire</t>
  </si>
  <si>
    <t>ORD1178</t>
  </si>
  <si>
    <t>Harris</t>
  </si>
  <si>
    <t>Hodgemouth</t>
  </si>
  <si>
    <t>ORD1179</t>
  </si>
  <si>
    <t>Gregory</t>
  </si>
  <si>
    <t>Brianton</t>
  </si>
  <si>
    <t>ORD1180</t>
  </si>
  <si>
    <t>CUST110</t>
  </si>
  <si>
    <t>Nina</t>
  </si>
  <si>
    <t>Everett</t>
  </si>
  <si>
    <t>Lopezville</t>
  </si>
  <si>
    <t>ORD1181</t>
  </si>
  <si>
    <t>CUST299</t>
  </si>
  <si>
    <t>Roberts</t>
  </si>
  <si>
    <t>Schroedershire</t>
  </si>
  <si>
    <t>ORD1182</t>
  </si>
  <si>
    <t>CUST714</t>
  </si>
  <si>
    <t>Cindy</t>
  </si>
  <si>
    <t>Michaelberg</t>
  </si>
  <si>
    <t>ORD1183</t>
  </si>
  <si>
    <t>CUST937</t>
  </si>
  <si>
    <t>Whitaker</t>
  </si>
  <si>
    <t>West Lindseytown</t>
  </si>
  <si>
    <t>ORD1184</t>
  </si>
  <si>
    <t>CUST444</t>
  </si>
  <si>
    <t>Mason</t>
  </si>
  <si>
    <t>Stephensmouth</t>
  </si>
  <si>
    <t>ORD1185</t>
  </si>
  <si>
    <t>CUST729</t>
  </si>
  <si>
    <t>Emily</t>
  </si>
  <si>
    <t>Adams</t>
  </si>
  <si>
    <t>Watkinshaven</t>
  </si>
  <si>
    <t>ORD1186</t>
  </si>
  <si>
    <t>CUST934</t>
  </si>
  <si>
    <t>Steven</t>
  </si>
  <si>
    <t>Olsen</t>
  </si>
  <si>
    <t>Juliebury</t>
  </si>
  <si>
    <t>ORD1187</t>
  </si>
  <si>
    <t>John</t>
  </si>
  <si>
    <t>Allison</t>
  </si>
  <si>
    <t>Brownville</t>
  </si>
  <si>
    <t>ORD1188</t>
  </si>
  <si>
    <t>CUST398</t>
  </si>
  <si>
    <t>Andrea</t>
  </si>
  <si>
    <t>Taylormouth</t>
  </si>
  <si>
    <t>ORD1189</t>
  </si>
  <si>
    <t>CUST135</t>
  </si>
  <si>
    <t>Burton</t>
  </si>
  <si>
    <t>Marybury</t>
  </si>
  <si>
    <t>ORD1190</t>
  </si>
  <si>
    <t>CUST546</t>
  </si>
  <si>
    <t>Katrina</t>
  </si>
  <si>
    <t>New Austinberg</t>
  </si>
  <si>
    <t>ORD1191</t>
  </si>
  <si>
    <t>CUST240</t>
  </si>
  <si>
    <t>Port Matthewton</t>
  </si>
  <si>
    <t>ORD1192</t>
  </si>
  <si>
    <t>CUST821</t>
  </si>
  <si>
    <t>Dawn</t>
  </si>
  <si>
    <t>Cox</t>
  </si>
  <si>
    <t>North Veronica</t>
  </si>
  <si>
    <t>ORD1193</t>
  </si>
  <si>
    <t>CUST277</t>
  </si>
  <si>
    <t>Lori</t>
  </si>
  <si>
    <t>Kirby</t>
  </si>
  <si>
    <t>Lake Allison</t>
  </si>
  <si>
    <t>ORD1194</t>
  </si>
  <si>
    <t>CUST680</t>
  </si>
  <si>
    <t>Summers</t>
  </si>
  <si>
    <t>ORD1195</t>
  </si>
  <si>
    <t>East Richardstad</t>
  </si>
  <si>
    <t>ORD1196</t>
  </si>
  <si>
    <t>CUST343</t>
  </si>
  <si>
    <t>Jonathan</t>
  </si>
  <si>
    <t>Cole</t>
  </si>
  <si>
    <t>Lisaport</t>
  </si>
  <si>
    <t>ORD1197</t>
  </si>
  <si>
    <t>CUST860</t>
  </si>
  <si>
    <t>Port Moniqueburgh</t>
  </si>
  <si>
    <t>ORD1198</t>
  </si>
  <si>
    <t>CUST351</t>
  </si>
  <si>
    <t>Randy</t>
  </si>
  <si>
    <t>Wagner</t>
  </si>
  <si>
    <t>Jodichester</t>
  </si>
  <si>
    <t>ORD1199</t>
  </si>
  <si>
    <t>CUST290</t>
  </si>
  <si>
    <t>Patricia</t>
  </si>
  <si>
    <t>Flores</t>
  </si>
  <si>
    <t>New Denise</t>
  </si>
  <si>
    <t>ORD1200</t>
  </si>
  <si>
    <t>CUST295</t>
  </si>
  <si>
    <t>Morales</t>
  </si>
  <si>
    <t>Bonillahaven</t>
  </si>
  <si>
    <t>ORD1201</t>
  </si>
  <si>
    <t>CUST341</t>
  </si>
  <si>
    <t>North Williamfort</t>
  </si>
  <si>
    <t>ORD1202</t>
  </si>
  <si>
    <t>CUST334</t>
  </si>
  <si>
    <t>Dennis</t>
  </si>
  <si>
    <t>Bird</t>
  </si>
  <si>
    <t>Lake Hannahchester</t>
  </si>
  <si>
    <t>ORD1203</t>
  </si>
  <si>
    <t>CUST742</t>
  </si>
  <si>
    <t>Janet</t>
  </si>
  <si>
    <t>Lesliemouth</t>
  </si>
  <si>
    <t>ORD1204</t>
  </si>
  <si>
    <t>CUST623</t>
  </si>
  <si>
    <t>Petersen</t>
  </si>
  <si>
    <t>Cohenbury</t>
  </si>
  <si>
    <t>ORD1205</t>
  </si>
  <si>
    <t>CUST238</t>
  </si>
  <si>
    <t>Kennedy</t>
  </si>
  <si>
    <t>East Andrewstad</t>
  </si>
  <si>
    <t>ORD1206</t>
  </si>
  <si>
    <t>Hardin</t>
  </si>
  <si>
    <t>Millerside</t>
  </si>
  <si>
    <t>ORD1207</t>
  </si>
  <si>
    <t>CUST450</t>
  </si>
  <si>
    <t>Katie</t>
  </si>
  <si>
    <t>Brown</t>
  </si>
  <si>
    <t>Beckview</t>
  </si>
  <si>
    <t>ORD1208</t>
  </si>
  <si>
    <t>CUST228</t>
  </si>
  <si>
    <t>Jose Watkins</t>
  </si>
  <si>
    <t>DVM</t>
  </si>
  <si>
    <t>South David</t>
  </si>
  <si>
    <t>ORD1209</t>
  </si>
  <si>
    <t>CUST598</t>
  </si>
  <si>
    <t>Harrison</t>
  </si>
  <si>
    <t>Andradefort</t>
  </si>
  <si>
    <t>ORD1210</t>
  </si>
  <si>
    <t>CUST274</t>
  </si>
  <si>
    <t>Wang</t>
  </si>
  <si>
    <t>Browntown</t>
  </si>
  <si>
    <t>ORD1211</t>
  </si>
  <si>
    <t>CUST633</t>
  </si>
  <si>
    <t>Tamaraville</t>
  </si>
  <si>
    <t>ORD1212</t>
  </si>
  <si>
    <t>CUST267</t>
  </si>
  <si>
    <t>Ferguson</t>
  </si>
  <si>
    <t>Oconnorstad</t>
  </si>
  <si>
    <t>ORD1213</t>
  </si>
  <si>
    <t>Travis Prince</t>
  </si>
  <si>
    <t>Port Sandrahaven</t>
  </si>
  <si>
    <t>ORD1214</t>
  </si>
  <si>
    <t>Lowe</t>
  </si>
  <si>
    <t>New Alanshire</t>
  </si>
  <si>
    <t>ORD1215</t>
  </si>
  <si>
    <t>CUST855</t>
  </si>
  <si>
    <t>Rebecca</t>
  </si>
  <si>
    <t>Gibson</t>
  </si>
  <si>
    <t>South Noahstad</t>
  </si>
  <si>
    <t>ORD1216</t>
  </si>
  <si>
    <t>CUST432</t>
  </si>
  <si>
    <t>Kelsey</t>
  </si>
  <si>
    <t>South Monique</t>
  </si>
  <si>
    <t>ORD1217</t>
  </si>
  <si>
    <t>CUST741</t>
  </si>
  <si>
    <t>Donaldson</t>
  </si>
  <si>
    <t>New Micheleville</t>
  </si>
  <si>
    <t>ORD1218</t>
  </si>
  <si>
    <t>CUST664</t>
  </si>
  <si>
    <t>Laura</t>
  </si>
  <si>
    <t>West Nicholas</t>
  </si>
  <si>
    <t>ORD1219</t>
  </si>
  <si>
    <t>Pamela</t>
  </si>
  <si>
    <t>Hughes</t>
  </si>
  <si>
    <t>Andersenville</t>
  </si>
  <si>
    <t>ORD1220</t>
  </si>
  <si>
    <t>CUST111</t>
  </si>
  <si>
    <t>Velez</t>
  </si>
  <si>
    <t>West Cynthia</t>
  </si>
  <si>
    <t>ORD1221</t>
  </si>
  <si>
    <t>CUST957</t>
  </si>
  <si>
    <t>Cookland</t>
  </si>
  <si>
    <t>ORD1222</t>
  </si>
  <si>
    <t>CUST788</t>
  </si>
  <si>
    <t>Lewishaven</t>
  </si>
  <si>
    <t>ORD1223</t>
  </si>
  <si>
    <t>CUST449</t>
  </si>
  <si>
    <t>Mccormicktown</t>
  </si>
  <si>
    <t>ORD1224</t>
  </si>
  <si>
    <t>CUST517</t>
  </si>
  <si>
    <t>Dr. Michele Roberts</t>
  </si>
  <si>
    <t>DDS</t>
  </si>
  <si>
    <t>North Rebeccaville</t>
  </si>
  <si>
    <t>ORD1225</t>
  </si>
  <si>
    <t>CUST991</t>
  </si>
  <si>
    <t>Jonland</t>
  </si>
  <si>
    <t>ORD1226</t>
  </si>
  <si>
    <t>CUST373</t>
  </si>
  <si>
    <t>Newtonmouth</t>
  </si>
  <si>
    <t>ORD1227</t>
  </si>
  <si>
    <t>CUST300</t>
  </si>
  <si>
    <t>Smithton</t>
  </si>
  <si>
    <t>ORD1228</t>
  </si>
  <si>
    <t>Fuller</t>
  </si>
  <si>
    <t>Maryberg</t>
  </si>
  <si>
    <t>ORD1229</t>
  </si>
  <si>
    <t>CUST535</t>
  </si>
  <si>
    <t>Mrs. Diane</t>
  </si>
  <si>
    <t>Harristown</t>
  </si>
  <si>
    <t>ORD1230</t>
  </si>
  <si>
    <t>CUST864</t>
  </si>
  <si>
    <t>Smithview</t>
  </si>
  <si>
    <t>ORD1231</t>
  </si>
  <si>
    <t>CUST822</t>
  </si>
  <si>
    <t>Hill</t>
  </si>
  <si>
    <t>South Rachelchester</t>
  </si>
  <si>
    <t>ORD1232</t>
  </si>
  <si>
    <t>Betty</t>
  </si>
  <si>
    <t>Simmonshaven</t>
  </si>
  <si>
    <t>ORD1233</t>
  </si>
  <si>
    <t>John Brown</t>
  </si>
  <si>
    <t>PhD</t>
  </si>
  <si>
    <t>East Janet</t>
  </si>
  <si>
    <t>ORD1234</t>
  </si>
  <si>
    <t>Leslie</t>
  </si>
  <si>
    <t>Berger</t>
  </si>
  <si>
    <t>Matthewburgh</t>
  </si>
  <si>
    <t>ORD1235</t>
  </si>
  <si>
    <t>CUST287</t>
  </si>
  <si>
    <t>Brandy</t>
  </si>
  <si>
    <t>Singh</t>
  </si>
  <si>
    <t>Andrewview</t>
  </si>
  <si>
    <t>ORD1236</t>
  </si>
  <si>
    <t>CUST674</t>
  </si>
  <si>
    <t>Dickson</t>
  </si>
  <si>
    <t>Rodriguezstad</t>
  </si>
  <si>
    <t>ORD1237</t>
  </si>
  <si>
    <t>CUST489</t>
  </si>
  <si>
    <t>Drew</t>
  </si>
  <si>
    <t>Singleton</t>
  </si>
  <si>
    <t>Staffordburgh</t>
  </si>
  <si>
    <t>ORD1238</t>
  </si>
  <si>
    <t>CUST711</t>
  </si>
  <si>
    <t>Combs</t>
  </si>
  <si>
    <t>Ericton</t>
  </si>
  <si>
    <t>ORD1239</t>
  </si>
  <si>
    <t>Gomez</t>
  </si>
  <si>
    <t>Watkinschester</t>
  </si>
  <si>
    <t>ORD1240</t>
  </si>
  <si>
    <t>Katelyn</t>
  </si>
  <si>
    <t>Miles</t>
  </si>
  <si>
    <t>Rossside</t>
  </si>
  <si>
    <t>ORD1241</t>
  </si>
  <si>
    <t>Nathan</t>
  </si>
  <si>
    <t>Thompsonhaven</t>
  </si>
  <si>
    <t>ORD1242</t>
  </si>
  <si>
    <t>CUST153</t>
  </si>
  <si>
    <t>Chad</t>
  </si>
  <si>
    <t>Cuevasborough</t>
  </si>
  <si>
    <t>ORD1243</t>
  </si>
  <si>
    <t>CUST377</t>
  </si>
  <si>
    <t>Christine</t>
  </si>
  <si>
    <t>Harvey</t>
  </si>
  <si>
    <t>Taylorhaven</t>
  </si>
  <si>
    <t>ORD1244</t>
  </si>
  <si>
    <t>CUST523</t>
  </si>
  <si>
    <t>Lake Stevenfurt</t>
  </si>
  <si>
    <t>ORD1245</t>
  </si>
  <si>
    <t>CUST858</t>
  </si>
  <si>
    <t>Maria</t>
  </si>
  <si>
    <t>Jacobs</t>
  </si>
  <si>
    <t>Port Franciscofort</t>
  </si>
  <si>
    <t>ORD1246</t>
  </si>
  <si>
    <t>CUST795</t>
  </si>
  <si>
    <t>Abigail</t>
  </si>
  <si>
    <t>Hunter</t>
  </si>
  <si>
    <t>South Johnchester</t>
  </si>
  <si>
    <t>ORD1247</t>
  </si>
  <si>
    <t>CUST969</t>
  </si>
  <si>
    <t>Aaron</t>
  </si>
  <si>
    <t>North Dawnton</t>
  </si>
  <si>
    <t>ORD1248</t>
  </si>
  <si>
    <t>Quinn</t>
  </si>
  <si>
    <t>Christopherfurt</t>
  </si>
  <si>
    <t>ORD1249</t>
  </si>
  <si>
    <t>Donna</t>
  </si>
  <si>
    <t>West Carriebury</t>
  </si>
  <si>
    <t>ORD1250</t>
  </si>
  <si>
    <t>CUST355</t>
  </si>
  <si>
    <t>Heather</t>
  </si>
  <si>
    <t>Powell</t>
  </si>
  <si>
    <t>Jillton</t>
  </si>
  <si>
    <t>ORD1251</t>
  </si>
  <si>
    <t>CUST471</t>
  </si>
  <si>
    <t>Young</t>
  </si>
  <si>
    <t>East Ryan</t>
  </si>
  <si>
    <t>ORD1252</t>
  </si>
  <si>
    <t>CUST928</t>
  </si>
  <si>
    <t>Rosales</t>
  </si>
  <si>
    <t>Hannahburgh</t>
  </si>
  <si>
    <t>ORD1253</t>
  </si>
  <si>
    <t>CUST595</t>
  </si>
  <si>
    <t>North Andrew</t>
  </si>
  <si>
    <t>ORD1254</t>
  </si>
  <si>
    <t>CUST347</t>
  </si>
  <si>
    <t>Lloyd</t>
  </si>
  <si>
    <t>South Jamesview</t>
  </si>
  <si>
    <t>ORD1255</t>
  </si>
  <si>
    <t>CUST927</t>
  </si>
  <si>
    <t>Nelson</t>
  </si>
  <si>
    <t>Darrenmouth</t>
  </si>
  <si>
    <t>ORD1256</t>
  </si>
  <si>
    <t>CUST663</t>
  </si>
  <si>
    <t>Tara</t>
  </si>
  <si>
    <t>Huynh</t>
  </si>
  <si>
    <t>West Daniel</t>
  </si>
  <si>
    <t>ORD1257</t>
  </si>
  <si>
    <t>CUST793</t>
  </si>
  <si>
    <t>Schwartz</t>
  </si>
  <si>
    <t>North Tammymouth</t>
  </si>
  <si>
    <t>ORD1258</t>
  </si>
  <si>
    <t>CUST357</t>
  </si>
  <si>
    <t>ORD1259</t>
  </si>
  <si>
    <t>CUST651</t>
  </si>
  <si>
    <t>Shannon</t>
  </si>
  <si>
    <t>Wallaceshire</t>
  </si>
  <si>
    <t>ORD1260</t>
  </si>
  <si>
    <t>CUST842</t>
  </si>
  <si>
    <t>North Jennifer</t>
  </si>
  <si>
    <t>ORD1261</t>
  </si>
  <si>
    <t>CUST726</t>
  </si>
  <si>
    <t>Hardyhaven</t>
  </si>
  <si>
    <t>ORD1262</t>
  </si>
  <si>
    <t>CUST890</t>
  </si>
  <si>
    <t>Patterson</t>
  </si>
  <si>
    <t>New Veronica</t>
  </si>
  <si>
    <t>ORD1263</t>
  </si>
  <si>
    <t>CUST682</t>
  </si>
  <si>
    <t>Mcdonald</t>
  </si>
  <si>
    <t>New Justin</t>
  </si>
  <si>
    <t>ORD1264</t>
  </si>
  <si>
    <t>CUST805</t>
  </si>
  <si>
    <t>Shelley</t>
  </si>
  <si>
    <t>Lake Mitchellhaven</t>
  </si>
  <si>
    <t>ORD1265</t>
  </si>
  <si>
    <t>Leroy</t>
  </si>
  <si>
    <t>Yu</t>
  </si>
  <si>
    <t>South Williamton</t>
  </si>
  <si>
    <t>ORD1266</t>
  </si>
  <si>
    <t>CUST859</t>
  </si>
  <si>
    <t>Dixonmouth</t>
  </si>
  <si>
    <t>ORD1267</t>
  </si>
  <si>
    <t>CUST965</t>
  </si>
  <si>
    <t>Cruz</t>
  </si>
  <si>
    <t>Lake Georgeport</t>
  </si>
  <si>
    <t>ORD1268</t>
  </si>
  <si>
    <t>Burns</t>
  </si>
  <si>
    <t>Harrytown</t>
  </si>
  <si>
    <t>ORD1269</t>
  </si>
  <si>
    <t>Peters</t>
  </si>
  <si>
    <t>Amandashire</t>
  </si>
  <si>
    <t>ORD1270</t>
  </si>
  <si>
    <t>Jordan</t>
  </si>
  <si>
    <t>Shepardview</t>
  </si>
  <si>
    <t>ORD1271</t>
  </si>
  <si>
    <t>CUST137</t>
  </si>
  <si>
    <t>Deborah</t>
  </si>
  <si>
    <t>Matthews</t>
  </si>
  <si>
    <t>Braymouth</t>
  </si>
  <si>
    <t>ORD1272</t>
  </si>
  <si>
    <t>CUST418</t>
  </si>
  <si>
    <t>Andremouth</t>
  </si>
  <si>
    <t>ORD1273</t>
  </si>
  <si>
    <t>CUST132</t>
  </si>
  <si>
    <t>Owens</t>
  </si>
  <si>
    <t>Gregoryview</t>
  </si>
  <si>
    <t>ORD1274</t>
  </si>
  <si>
    <t>CUST755</t>
  </si>
  <si>
    <t>Cooke</t>
  </si>
  <si>
    <t>Nguyenbury</t>
  </si>
  <si>
    <t>ORD1275</t>
  </si>
  <si>
    <t>CUST727</t>
  </si>
  <si>
    <t>George</t>
  </si>
  <si>
    <t>New Bradley</t>
  </si>
  <si>
    <t>ORD1276</t>
  </si>
  <si>
    <t>CUST248</t>
  </si>
  <si>
    <t>Buck</t>
  </si>
  <si>
    <t>Lake Timothyville</t>
  </si>
  <si>
    <t>ORD1277</t>
  </si>
  <si>
    <t>CUST250</t>
  </si>
  <si>
    <t>Kristin</t>
  </si>
  <si>
    <t>South Danaville</t>
  </si>
  <si>
    <t>ORD1278</t>
  </si>
  <si>
    <t>Reyes</t>
  </si>
  <si>
    <t>Jonesfort</t>
  </si>
  <si>
    <t>ORD1279</t>
  </si>
  <si>
    <t>CUST887</t>
  </si>
  <si>
    <t>Cody</t>
  </si>
  <si>
    <t>Reid</t>
  </si>
  <si>
    <t>Pamelachester</t>
  </si>
  <si>
    <t>ORD1280</t>
  </si>
  <si>
    <t>CUST825</t>
  </si>
  <si>
    <t>Tammie</t>
  </si>
  <si>
    <t>East Jenniferton</t>
  </si>
  <si>
    <t>ORD1281</t>
  </si>
  <si>
    <t>CUST198</t>
  </si>
  <si>
    <t>Ryan</t>
  </si>
  <si>
    <t>Erinmouth</t>
  </si>
  <si>
    <t>ORD1282</t>
  </si>
  <si>
    <t>CUST588</t>
  </si>
  <si>
    <t>Lake Ronaldtown</t>
  </si>
  <si>
    <t>ORD1283</t>
  </si>
  <si>
    <t>CUST875</t>
  </si>
  <si>
    <t>Lorraine</t>
  </si>
  <si>
    <t>Small</t>
  </si>
  <si>
    <t>Huffmantown</t>
  </si>
  <si>
    <t>ORD1284</t>
  </si>
  <si>
    <t>CUST346</t>
  </si>
  <si>
    <t>Alyssa</t>
  </si>
  <si>
    <t>Wiggins</t>
  </si>
  <si>
    <t>East Michael</t>
  </si>
  <si>
    <t>ORD1285</t>
  </si>
  <si>
    <t>CUST501</t>
  </si>
  <si>
    <t>Michele</t>
  </si>
  <si>
    <t>Wood</t>
  </si>
  <si>
    <t>New Kimberlyhaven</t>
  </si>
  <si>
    <t>ORD1286</t>
  </si>
  <si>
    <t>Shawn</t>
  </si>
  <si>
    <t>Vazquez</t>
  </si>
  <si>
    <t>Aprilmouth</t>
  </si>
  <si>
    <t>ORD1287</t>
  </si>
  <si>
    <t>Port Shawn</t>
  </si>
  <si>
    <t>ORD1288</t>
  </si>
  <si>
    <t>CUST117</t>
  </si>
  <si>
    <t>Pierce</t>
  </si>
  <si>
    <t>Kochside</t>
  </si>
  <si>
    <t>ORD1289</t>
  </si>
  <si>
    <t>Mendez</t>
  </si>
  <si>
    <t>West Emilyton</t>
  </si>
  <si>
    <t>ORD1290</t>
  </si>
  <si>
    <t>CUST461</t>
  </si>
  <si>
    <t>Tammyborough</t>
  </si>
  <si>
    <t>ORD1291</t>
  </si>
  <si>
    <t>CUST393</t>
  </si>
  <si>
    <t>Charles</t>
  </si>
  <si>
    <t>Ericachester</t>
  </si>
  <si>
    <t>ORD1292</t>
  </si>
  <si>
    <t>CUST542</t>
  </si>
  <si>
    <t>Woods</t>
  </si>
  <si>
    <t>Natalieside</t>
  </si>
  <si>
    <t>ORD1293</t>
  </si>
  <si>
    <t>CUST516</t>
  </si>
  <si>
    <t>West Stevenland</t>
  </si>
  <si>
    <t>ORD1294</t>
  </si>
  <si>
    <t>CUST720</t>
  </si>
  <si>
    <t>Baker</t>
  </si>
  <si>
    <t>East Adam</t>
  </si>
  <si>
    <t>ORD1295</t>
  </si>
  <si>
    <t>West Carla</t>
  </si>
  <si>
    <t>ORD1296</t>
  </si>
  <si>
    <t>CUST251</t>
  </si>
  <si>
    <t>Dr. Carl Davis</t>
  </si>
  <si>
    <t>New James</t>
  </si>
  <si>
    <t>ORD1297</t>
  </si>
  <si>
    <t>CUST836</t>
  </si>
  <si>
    <t>Alan</t>
  </si>
  <si>
    <t>Port Matthew</t>
  </si>
  <si>
    <t>ORD1298</t>
  </si>
  <si>
    <t>CUST271</t>
  </si>
  <si>
    <t>West Jody</t>
  </si>
  <si>
    <t>ORD1299</t>
  </si>
  <si>
    <t>CUST330</t>
  </si>
  <si>
    <t>ORD1300</t>
  </si>
  <si>
    <t>CUST981</t>
  </si>
  <si>
    <t>Lane</t>
  </si>
  <si>
    <t>North Michelleport</t>
  </si>
  <si>
    <t>ORD1301</t>
  </si>
  <si>
    <t>CUST352</t>
  </si>
  <si>
    <t>Jamie</t>
  </si>
  <si>
    <t>Port Davidbury</t>
  </si>
  <si>
    <t>ORD1302</t>
  </si>
  <si>
    <t>CUST746</t>
  </si>
  <si>
    <t>Stephen</t>
  </si>
  <si>
    <t>North Matthew</t>
  </si>
  <si>
    <t>ORD1303</t>
  </si>
  <si>
    <t>CUST619</t>
  </si>
  <si>
    <t>Lake Kristinaborough</t>
  </si>
  <si>
    <t>ORD1304</t>
  </si>
  <si>
    <t>CUST196</t>
  </si>
  <si>
    <t>Francisland</t>
  </si>
  <si>
    <t>ORD1305</t>
  </si>
  <si>
    <t>CUST876</t>
  </si>
  <si>
    <t>Escobar</t>
  </si>
  <si>
    <t>Anthonyview</t>
  </si>
  <si>
    <t>ORD1306</t>
  </si>
  <si>
    <t>Annette</t>
  </si>
  <si>
    <t>New Christopher</t>
  </si>
  <si>
    <t>ORD1307</t>
  </si>
  <si>
    <t>CUST749</t>
  </si>
  <si>
    <t>Garciafort</t>
  </si>
  <si>
    <t>ORD1308</t>
  </si>
  <si>
    <t>CUST699</t>
  </si>
  <si>
    <t>Kurtburgh</t>
  </si>
  <si>
    <t>ORD1309</t>
  </si>
  <si>
    <t>CUST733</t>
  </si>
  <si>
    <t>Ingram</t>
  </si>
  <si>
    <t>Colemanhaven</t>
  </si>
  <si>
    <t>ORD1310</t>
  </si>
  <si>
    <t>CUST105</t>
  </si>
  <si>
    <t>Kent</t>
  </si>
  <si>
    <t>North Brenthaven</t>
  </si>
  <si>
    <t>ORD1311</t>
  </si>
  <si>
    <t>Tammy</t>
  </si>
  <si>
    <t>Lake Michael</t>
  </si>
  <si>
    <t>ORD1312</t>
  </si>
  <si>
    <t>CUST374</t>
  </si>
  <si>
    <t>Jacqueline</t>
  </si>
  <si>
    <t>Cline</t>
  </si>
  <si>
    <t>North Kyle</t>
  </si>
  <si>
    <t>ORD1313</t>
  </si>
  <si>
    <t>CUST627</t>
  </si>
  <si>
    <t>North Stephenberg</t>
  </si>
  <si>
    <t>ORD1314</t>
  </si>
  <si>
    <t>CUST234</t>
  </si>
  <si>
    <t>Crosbyport</t>
  </si>
  <si>
    <t>ORD1315</t>
  </si>
  <si>
    <t>CUST434</t>
  </si>
  <si>
    <t>Harold</t>
  </si>
  <si>
    <t>Hess</t>
  </si>
  <si>
    <t>Lake Ericfurt</t>
  </si>
  <si>
    <t>ORD1316</t>
  </si>
  <si>
    <t>Yolanda</t>
  </si>
  <si>
    <t>Clark</t>
  </si>
  <si>
    <t>Lake Shannonfurt</t>
  </si>
  <si>
    <t>ORD1317</t>
  </si>
  <si>
    <t>CUST411</t>
  </si>
  <si>
    <t>Stanley</t>
  </si>
  <si>
    <t>Lake Richard</t>
  </si>
  <si>
    <t>ORD1318</t>
  </si>
  <si>
    <t>CUST658</t>
  </si>
  <si>
    <t>Camacho</t>
  </si>
  <si>
    <t>Ronaldtown</t>
  </si>
  <si>
    <t>ORD1319</t>
  </si>
  <si>
    <t>West Elizabeth</t>
  </si>
  <si>
    <t>ORD1320</t>
  </si>
  <si>
    <t>Caitlin</t>
  </si>
  <si>
    <t>Johnston</t>
  </si>
  <si>
    <t>Lopezshire</t>
  </si>
  <si>
    <t>ORD1321</t>
  </si>
  <si>
    <t>Erika</t>
  </si>
  <si>
    <t>Valerieborough</t>
  </si>
  <si>
    <t>ORD1322</t>
  </si>
  <si>
    <t>CUST922</t>
  </si>
  <si>
    <t>East Heather</t>
  </si>
  <si>
    <t>ORD1323</t>
  </si>
  <si>
    <t>CUST275</t>
  </si>
  <si>
    <t>Francis</t>
  </si>
  <si>
    <t>Johnsonshire</t>
  </si>
  <si>
    <t>ORD1324</t>
  </si>
  <si>
    <t>CUST715</t>
  </si>
  <si>
    <t>Bradley Rasmussen</t>
  </si>
  <si>
    <t>South Brad</t>
  </si>
  <si>
    <t>ORD1325</t>
  </si>
  <si>
    <t>Larsonmouth</t>
  </si>
  <si>
    <t>ORD1326</t>
  </si>
  <si>
    <t>Rogers</t>
  </si>
  <si>
    <t>Gamblehaven</t>
  </si>
  <si>
    <t>ORD1327</t>
  </si>
  <si>
    <t>CUST932</t>
  </si>
  <si>
    <t>Victor</t>
  </si>
  <si>
    <t>Gonzalezbury</t>
  </si>
  <si>
    <t>ORD1328</t>
  </si>
  <si>
    <t>CUST543</t>
  </si>
  <si>
    <t>Dana</t>
  </si>
  <si>
    <t>Michelleborough</t>
  </si>
  <si>
    <t>ORD1329</t>
  </si>
  <si>
    <t>CUST173</t>
  </si>
  <si>
    <t>Barbara</t>
  </si>
  <si>
    <t>Flynn</t>
  </si>
  <si>
    <t>Edwardsmouth</t>
  </si>
  <si>
    <t>ORD1330</t>
  </si>
  <si>
    <t>Connerfort</t>
  </si>
  <si>
    <t>ORD1331</t>
  </si>
  <si>
    <t>Edward</t>
  </si>
  <si>
    <t>Simon</t>
  </si>
  <si>
    <t>Jasonstad</t>
  </si>
  <si>
    <t>ORD1332</t>
  </si>
  <si>
    <t>CUST827</t>
  </si>
  <si>
    <t>Laurie</t>
  </si>
  <si>
    <t>Montgomery</t>
  </si>
  <si>
    <t>Fordfort</t>
  </si>
  <si>
    <t>ORD1333</t>
  </si>
  <si>
    <t>Tonya</t>
  </si>
  <si>
    <t>Mayer</t>
  </si>
  <si>
    <t>Port Dustin</t>
  </si>
  <si>
    <t>ORD1334</t>
  </si>
  <si>
    <t>Michaeltown</t>
  </si>
  <si>
    <t>ORD1335</t>
  </si>
  <si>
    <t>CUST562</t>
  </si>
  <si>
    <t>South Sherry</t>
  </si>
  <si>
    <t>ORD1336</t>
  </si>
  <si>
    <t>CUST109</t>
  </si>
  <si>
    <t>Miranda</t>
  </si>
  <si>
    <t>South Joseburgh</t>
  </si>
  <si>
    <t>ORD1337</t>
  </si>
  <si>
    <t>CUST767</t>
  </si>
  <si>
    <t>Moreno</t>
  </si>
  <si>
    <t>Jonesview</t>
  </si>
  <si>
    <t>ORD1338</t>
  </si>
  <si>
    <t>East Marcmouth</t>
  </si>
  <si>
    <t>ORD1339</t>
  </si>
  <si>
    <t>CUST416</t>
  </si>
  <si>
    <t>Lake Briannaburgh</t>
  </si>
  <si>
    <t>ORD1340</t>
  </si>
  <si>
    <t>CUST747</t>
  </si>
  <si>
    <t>Jeffrey</t>
  </si>
  <si>
    <t>Leeview</t>
  </si>
  <si>
    <t>ORD1341</t>
  </si>
  <si>
    <t>Austin</t>
  </si>
  <si>
    <t>North Joseland</t>
  </si>
  <si>
    <t>ORD1342</t>
  </si>
  <si>
    <t>CUST992</t>
  </si>
  <si>
    <t>Jill</t>
  </si>
  <si>
    <t>Orr</t>
  </si>
  <si>
    <t>Josephfort</t>
  </si>
  <si>
    <t>ORD1343</t>
  </si>
  <si>
    <t>CUST506</t>
  </si>
  <si>
    <t>Casey</t>
  </si>
  <si>
    <t>Massey</t>
  </si>
  <si>
    <t>Travisfort</t>
  </si>
  <si>
    <t>ORD1344</t>
  </si>
  <si>
    <t>Warrenmouth</t>
  </si>
  <si>
    <t>ORD1345</t>
  </si>
  <si>
    <t>CUST685</t>
  </si>
  <si>
    <t>Jeremy</t>
  </si>
  <si>
    <t>Port Johnside</t>
  </si>
  <si>
    <t>ORD1346</t>
  </si>
  <si>
    <t>CUST372</t>
  </si>
  <si>
    <t>Lopez</t>
  </si>
  <si>
    <t>Port Christina</t>
  </si>
  <si>
    <t>ORD1347</t>
  </si>
  <si>
    <t>Grant</t>
  </si>
  <si>
    <t>East Jasmine</t>
  </si>
  <si>
    <t>ORD1348</t>
  </si>
  <si>
    <t>CUST885</t>
  </si>
  <si>
    <t>Williamsbury</t>
  </si>
  <si>
    <t>ORD1349</t>
  </si>
  <si>
    <t>CUST527</t>
  </si>
  <si>
    <t>Lake Matthew</t>
  </si>
  <si>
    <t>ORD1350</t>
  </si>
  <si>
    <t>CUST232</t>
  </si>
  <si>
    <t>Livingston</t>
  </si>
  <si>
    <t>Coreyshire</t>
  </si>
  <si>
    <t>ORD1351</t>
  </si>
  <si>
    <t>CUST745</t>
  </si>
  <si>
    <t>Denise</t>
  </si>
  <si>
    <t>Kim</t>
  </si>
  <si>
    <t>South Deborahberg</t>
  </si>
  <si>
    <t>ORD1352</t>
  </si>
  <si>
    <t>CUST255</t>
  </si>
  <si>
    <t>Gina</t>
  </si>
  <si>
    <t>Rasmussen</t>
  </si>
  <si>
    <t>Crawfordville</t>
  </si>
  <si>
    <t>ORD1353</t>
  </si>
  <si>
    <t>CUST596</t>
  </si>
  <si>
    <t>Carolyn</t>
  </si>
  <si>
    <t>Port Robertton</t>
  </si>
  <si>
    <t>ORD1354</t>
  </si>
  <si>
    <t>Wallaceburgh</t>
  </si>
  <si>
    <t>ORD1355</t>
  </si>
  <si>
    <t>CUST371</t>
  </si>
  <si>
    <t>Thomas Gallegos</t>
  </si>
  <si>
    <t>Weaverberg</t>
  </si>
  <si>
    <t>ORD1356</t>
  </si>
  <si>
    <t>CUST193</t>
  </si>
  <si>
    <t>Alexandria</t>
  </si>
  <si>
    <t>Tapiaburgh</t>
  </si>
  <si>
    <t>ORD1357</t>
  </si>
  <si>
    <t>Mora</t>
  </si>
  <si>
    <t>Richmondport</t>
  </si>
  <si>
    <t>ORD1358</t>
  </si>
  <si>
    <t>CUST332</t>
  </si>
  <si>
    <t>Harding</t>
  </si>
  <si>
    <t>Port Kathleen</t>
  </si>
  <si>
    <t>ORD1359</t>
  </si>
  <si>
    <t>Alexander</t>
  </si>
  <si>
    <t>Ericside</t>
  </si>
  <si>
    <t>ORD1360</t>
  </si>
  <si>
    <t>Anita</t>
  </si>
  <si>
    <t>Crawford</t>
  </si>
  <si>
    <t>West Warrenland</t>
  </si>
  <si>
    <t>ORD1361</t>
  </si>
  <si>
    <t>CUST231</t>
  </si>
  <si>
    <t>South Heather</t>
  </si>
  <si>
    <t>ORD1362</t>
  </si>
  <si>
    <t>CUST292</t>
  </si>
  <si>
    <t>Rachel</t>
  </si>
  <si>
    <t>New Bradleyfort</t>
  </si>
  <si>
    <t>ORD1363</t>
  </si>
  <si>
    <t>CUST498</t>
  </si>
  <si>
    <t>East Ericfort</t>
  </si>
  <si>
    <t>ORD1364</t>
  </si>
  <si>
    <t>CUST404</t>
  </si>
  <si>
    <t>Kristinfurt</t>
  </si>
  <si>
    <t>ORD1365</t>
  </si>
  <si>
    <t>CUST499</t>
  </si>
  <si>
    <t>Fields</t>
  </si>
  <si>
    <t>Mccormickshire</t>
  </si>
  <si>
    <t>ORD1366</t>
  </si>
  <si>
    <t>CUST265</t>
  </si>
  <si>
    <t>Connor</t>
  </si>
  <si>
    <t>Nguyen</t>
  </si>
  <si>
    <t>Waltershaven</t>
  </si>
  <si>
    <t>ORD1367</t>
  </si>
  <si>
    <t>CUST900</t>
  </si>
  <si>
    <t>Melinda</t>
  </si>
  <si>
    <t>Richardson</t>
  </si>
  <si>
    <t>South Alicia</t>
  </si>
  <si>
    <t>ORD1368</t>
  </si>
  <si>
    <t>CUST689</t>
  </si>
  <si>
    <t>South Jonathanfurt</t>
  </si>
  <si>
    <t>ORD1369</t>
  </si>
  <si>
    <t>CUST474</t>
  </si>
  <si>
    <t>Wilkinson</t>
  </si>
  <si>
    <t>Meganmouth</t>
  </si>
  <si>
    <t>ORD1370</t>
  </si>
  <si>
    <t>CUST911</t>
  </si>
  <si>
    <t>Soto</t>
  </si>
  <si>
    <t>West Mariaview</t>
  </si>
  <si>
    <t>ORD1371</t>
  </si>
  <si>
    <t>Curtis</t>
  </si>
  <si>
    <t>Callahan</t>
  </si>
  <si>
    <t>Robersonfort</t>
  </si>
  <si>
    <t>ORD1372</t>
  </si>
  <si>
    <t>CUST872</t>
  </si>
  <si>
    <t>Jeanettefurt</t>
  </si>
  <si>
    <t>ORD1373</t>
  </si>
  <si>
    <t>CUST431</t>
  </si>
  <si>
    <t>Bender</t>
  </si>
  <si>
    <t>Michaelview</t>
  </si>
  <si>
    <t>ORD1374</t>
  </si>
  <si>
    <t>CUST736</t>
  </si>
  <si>
    <t>New Jamesstad</t>
  </si>
  <si>
    <t>ORD1375</t>
  </si>
  <si>
    <t>CUST893</t>
  </si>
  <si>
    <t>Osbornefort</t>
  </si>
  <si>
    <t>ORD1376</t>
  </si>
  <si>
    <t>CUST646</t>
  </si>
  <si>
    <t>Lake Monicachester</t>
  </si>
  <si>
    <t>ORD1377</t>
  </si>
  <si>
    <t>CUST694</t>
  </si>
  <si>
    <t>Antonio</t>
  </si>
  <si>
    <t>Long</t>
  </si>
  <si>
    <t>Port Kelli</t>
  </si>
  <si>
    <t>ORD1378</t>
  </si>
  <si>
    <t>Mariaview</t>
  </si>
  <si>
    <t>ORD1379</t>
  </si>
  <si>
    <t>ORD1380</t>
  </si>
  <si>
    <t>CUST662</t>
  </si>
  <si>
    <t>Eduardo</t>
  </si>
  <si>
    <t>Lake Jasonside</t>
  </si>
  <si>
    <t>ORD1381</t>
  </si>
  <si>
    <t>CUST960</t>
  </si>
  <si>
    <t>Murphy</t>
  </si>
  <si>
    <t>Rickfort</t>
  </si>
  <si>
    <t>ORD1382</t>
  </si>
  <si>
    <t>CUST302</t>
  </si>
  <si>
    <t>Boyd</t>
  </si>
  <si>
    <t>Rachaelmouth</t>
  </si>
  <si>
    <t>ORD1383</t>
  </si>
  <si>
    <t>CUST327</t>
  </si>
  <si>
    <t>Maxwellside</t>
  </si>
  <si>
    <t>ORD1384</t>
  </si>
  <si>
    <t>Amanda</t>
  </si>
  <si>
    <t>Mcintosh</t>
  </si>
  <si>
    <t>South Nataliechester</t>
  </si>
  <si>
    <t>ORD1385</t>
  </si>
  <si>
    <t>Jeanette</t>
  </si>
  <si>
    <t>Lake Steven</t>
  </si>
  <si>
    <t>ORD1386</t>
  </si>
  <si>
    <t>CUST956</t>
  </si>
  <si>
    <t>Terri</t>
  </si>
  <si>
    <t>Hunt</t>
  </si>
  <si>
    <t>Kennethfurt</t>
  </si>
  <si>
    <t>ORD1387</t>
  </si>
  <si>
    <t>CUST464</t>
  </si>
  <si>
    <t>Samuel</t>
  </si>
  <si>
    <t>Melissaberg</t>
  </si>
  <si>
    <t>ORD1388</t>
  </si>
  <si>
    <t>South Erin</t>
  </si>
  <si>
    <t>ORD1389</t>
  </si>
  <si>
    <t>CUST878</t>
  </si>
  <si>
    <t>Anitamouth</t>
  </si>
  <si>
    <t>ORD1390</t>
  </si>
  <si>
    <t>New Austin</t>
  </si>
  <si>
    <t>ORD1391</t>
  </si>
  <si>
    <t>Stevens</t>
  </si>
  <si>
    <t>North Annettemouth</t>
  </si>
  <si>
    <t>ORD1392</t>
  </si>
  <si>
    <t>Devin</t>
  </si>
  <si>
    <t>Sherrychester</t>
  </si>
  <si>
    <t>ORD1393</t>
  </si>
  <si>
    <t>Samuelhaven</t>
  </si>
  <si>
    <t>ORD1394</t>
  </si>
  <si>
    <t>Gill</t>
  </si>
  <si>
    <t>Lunatown</t>
  </si>
  <si>
    <t>ORD1395</t>
  </si>
  <si>
    <t>CUST131</t>
  </si>
  <si>
    <t>West Kaitlynbury</t>
  </si>
  <si>
    <t>ORD1396</t>
  </si>
  <si>
    <t>Byrdshire</t>
  </si>
  <si>
    <t>ORD1397</t>
  </si>
  <si>
    <t>CUST220</t>
  </si>
  <si>
    <t>Moran</t>
  </si>
  <si>
    <t>Port Coreyville</t>
  </si>
  <si>
    <t>ORD1398</t>
  </si>
  <si>
    <t>CUST138</t>
  </si>
  <si>
    <t>Khan</t>
  </si>
  <si>
    <t>West Deborah</t>
  </si>
  <si>
    <t>ORD1399</t>
  </si>
  <si>
    <t>Sherri</t>
  </si>
  <si>
    <t>Port Kennethstad</t>
  </si>
  <si>
    <t>ORD1400</t>
  </si>
  <si>
    <t>Juan</t>
  </si>
  <si>
    <t>Becker</t>
  </si>
  <si>
    <t>Conwayport</t>
  </si>
  <si>
    <t>ORD1401</t>
  </si>
  <si>
    <t>Cassandra</t>
  </si>
  <si>
    <t>West Justintown</t>
  </si>
  <si>
    <t>ORD1402</t>
  </si>
  <si>
    <t>CUST119</t>
  </si>
  <si>
    <t>Batesfurt</t>
  </si>
  <si>
    <t>ORD1403</t>
  </si>
  <si>
    <t>CUST843</t>
  </si>
  <si>
    <t>Butler</t>
  </si>
  <si>
    <t>New Rickyland</t>
  </si>
  <si>
    <t>ORD1404</t>
  </si>
  <si>
    <t>CUST335</t>
  </si>
  <si>
    <t>Yvetteton</t>
  </si>
  <si>
    <t>ORD1405</t>
  </si>
  <si>
    <t>South Nicoleport</t>
  </si>
  <si>
    <t>ORD1406</t>
  </si>
  <si>
    <t>CUST477</t>
  </si>
  <si>
    <t>Lake Jamie</t>
  </si>
  <si>
    <t>ORD1407</t>
  </si>
  <si>
    <t>Juarez</t>
  </si>
  <si>
    <t>North Kristi</t>
  </si>
  <si>
    <t>ORD1408</t>
  </si>
  <si>
    <t>CUST952</t>
  </si>
  <si>
    <t>Lindaberg</t>
  </si>
  <si>
    <t>ORD1409</t>
  </si>
  <si>
    <t>CUST920</t>
  </si>
  <si>
    <t>Reeves</t>
  </si>
  <si>
    <t>Zoechester</t>
  </si>
  <si>
    <t>ORD1410</t>
  </si>
  <si>
    <t>CUST966</t>
  </si>
  <si>
    <t>Port Marieshire</t>
  </si>
  <si>
    <t>ORD1411</t>
  </si>
  <si>
    <t>CUST442</t>
  </si>
  <si>
    <t>Heath</t>
  </si>
  <si>
    <t>Harrismouth</t>
  </si>
  <si>
    <t>ORD1412</t>
  </si>
  <si>
    <t>Wendy Rosario</t>
  </si>
  <si>
    <t>Jamiefort</t>
  </si>
  <si>
    <t>ORD1413</t>
  </si>
  <si>
    <t>CUST263</t>
  </si>
  <si>
    <t>Lake Loriberg</t>
  </si>
  <si>
    <t>ORD1414</t>
  </si>
  <si>
    <t>CUST454</t>
  </si>
  <si>
    <t>Foster</t>
  </si>
  <si>
    <t>Foxhaven</t>
  </si>
  <si>
    <t>ORD1415</t>
  </si>
  <si>
    <t>CUST419</t>
  </si>
  <si>
    <t>Spencer</t>
  </si>
  <si>
    <t>Lauramouth</t>
  </si>
  <si>
    <t>ORD1416</t>
  </si>
  <si>
    <t>CUST813</t>
  </si>
  <si>
    <t>Brenda</t>
  </si>
  <si>
    <t>Lake Coleberg</t>
  </si>
  <si>
    <t>ORD1417</t>
  </si>
  <si>
    <t>CUST460</t>
  </si>
  <si>
    <t>Holly</t>
  </si>
  <si>
    <t>Amandastad</t>
  </si>
  <si>
    <t>ORD1418</t>
  </si>
  <si>
    <t>CUST407</t>
  </si>
  <si>
    <t>Adamside</t>
  </si>
  <si>
    <t>ORD1419</t>
  </si>
  <si>
    <t>Port Johnnyfort</t>
  </si>
  <si>
    <t>ORD1420</t>
  </si>
  <si>
    <t>CUST156</t>
  </si>
  <si>
    <t>Lake Katherinetown</t>
  </si>
  <si>
    <t>ORD1421</t>
  </si>
  <si>
    <t>CUST615</t>
  </si>
  <si>
    <t>West Tylerhaven</t>
  </si>
  <si>
    <t>ORD1422</t>
  </si>
  <si>
    <t>Nancy</t>
  </si>
  <si>
    <t>Cassandraton</t>
  </si>
  <si>
    <t>ORD1423</t>
  </si>
  <si>
    <t>CUST667</t>
  </si>
  <si>
    <t>Jasmine</t>
  </si>
  <si>
    <t>Sutton</t>
  </si>
  <si>
    <t>Sheppardport</t>
  </si>
  <si>
    <t>ORD1424</t>
  </si>
  <si>
    <t>Carrie</t>
  </si>
  <si>
    <t>Woodsbury</t>
  </si>
  <si>
    <t>ORD1425</t>
  </si>
  <si>
    <t>Ericstad</t>
  </si>
  <si>
    <t>ORD1426</t>
  </si>
  <si>
    <t>Barnes</t>
  </si>
  <si>
    <t>Jerometon</t>
  </si>
  <si>
    <t>ORD1427</t>
  </si>
  <si>
    <t>East Lisafort</t>
  </si>
  <si>
    <t>ORD1428</t>
  </si>
  <si>
    <t>CUST482</t>
  </si>
  <si>
    <t>Li</t>
  </si>
  <si>
    <t>Port Lauraburgh</t>
  </si>
  <si>
    <t>ORD1429</t>
  </si>
  <si>
    <t>Jenniferchester</t>
  </si>
  <si>
    <t>ORD1430</t>
  </si>
  <si>
    <t>CUST329</t>
  </si>
  <si>
    <t>Valencia</t>
  </si>
  <si>
    <t>Lake Briana</t>
  </si>
  <si>
    <t>ORD1431</t>
  </si>
  <si>
    <t>Cabrera</t>
  </si>
  <si>
    <t>Yvonnefurt</t>
  </si>
  <si>
    <t>ORD1432</t>
  </si>
  <si>
    <t>CUST514</t>
  </si>
  <si>
    <t>South Donaldshire</t>
  </si>
  <si>
    <t>ORD1433</t>
  </si>
  <si>
    <t>Joe</t>
  </si>
  <si>
    <t>Gailport</t>
  </si>
  <si>
    <t>ORD1434</t>
  </si>
  <si>
    <t>CUST590</t>
  </si>
  <si>
    <t>Hannah</t>
  </si>
  <si>
    <t>Lake Robertton</t>
  </si>
  <si>
    <t>ORD1435</t>
  </si>
  <si>
    <t>CUST584</t>
  </si>
  <si>
    <t>Parsonsmouth</t>
  </si>
  <si>
    <t>ORD1436</t>
  </si>
  <si>
    <t>CUST721</t>
  </si>
  <si>
    <t>Parker</t>
  </si>
  <si>
    <t>Newtonbury</t>
  </si>
  <si>
    <t>ORD1437</t>
  </si>
  <si>
    <t>CUST949</t>
  </si>
  <si>
    <t>Schmidt</t>
  </si>
  <si>
    <t>Markhaven</t>
  </si>
  <si>
    <t>ORD1438</t>
  </si>
  <si>
    <t>CUST236</t>
  </si>
  <si>
    <t>Watkinsstad</t>
  </si>
  <si>
    <t>ORD1439</t>
  </si>
  <si>
    <t>West Markmouth</t>
  </si>
  <si>
    <t>ORD1440</t>
  </si>
  <si>
    <t>CUST310</t>
  </si>
  <si>
    <t>Heathershire</t>
  </si>
  <si>
    <t>ORD1441</t>
  </si>
  <si>
    <t>Hurley</t>
  </si>
  <si>
    <t>Patriciabury</t>
  </si>
  <si>
    <t>ORD1442</t>
  </si>
  <si>
    <t>North Adamborough</t>
  </si>
  <si>
    <t>ORD1443</t>
  </si>
  <si>
    <t>Alicia</t>
  </si>
  <si>
    <t>Silva</t>
  </si>
  <si>
    <t>Thompsonmouth</t>
  </si>
  <si>
    <t>ORD1444</t>
  </si>
  <si>
    <t>CUST982</t>
  </si>
  <si>
    <t>Calhoun</t>
  </si>
  <si>
    <t>Johnburgh</t>
  </si>
  <si>
    <t>ORD1445</t>
  </si>
  <si>
    <t>Chapman</t>
  </si>
  <si>
    <t>North Yvonne</t>
  </si>
  <si>
    <t>ORD1446</t>
  </si>
  <si>
    <t>CUST183</t>
  </si>
  <si>
    <t>Gardnermouth</t>
  </si>
  <si>
    <t>ORD1447</t>
  </si>
  <si>
    <t>CUST331</t>
  </si>
  <si>
    <t>Mccoy</t>
  </si>
  <si>
    <t>ORD1448</t>
  </si>
  <si>
    <t>Carter</t>
  </si>
  <si>
    <t>Bergerhaven</t>
  </si>
  <si>
    <t>ORD1449</t>
  </si>
  <si>
    <t>CUST686</t>
  </si>
  <si>
    <t>Erica</t>
  </si>
  <si>
    <t>Haleybury</t>
  </si>
  <si>
    <t>ORD1450</t>
  </si>
  <si>
    <t>Mendozaton</t>
  </si>
  <si>
    <t>ORD1451</t>
  </si>
  <si>
    <t>Schroeder</t>
  </si>
  <si>
    <t>Meyershire</t>
  </si>
  <si>
    <t>ORD1452</t>
  </si>
  <si>
    <t>CUST573</t>
  </si>
  <si>
    <t>Mcclainburgh</t>
  </si>
  <si>
    <t>ORD1453</t>
  </si>
  <si>
    <t>CUST257</t>
  </si>
  <si>
    <t>King</t>
  </si>
  <si>
    <t>East Dillonview</t>
  </si>
  <si>
    <t>ORD1454</t>
  </si>
  <si>
    <t>Wallace</t>
  </si>
  <si>
    <t>Phillipsside</t>
  </si>
  <si>
    <t>ORD1455</t>
  </si>
  <si>
    <t>CUST205</t>
  </si>
  <si>
    <t>Estrada</t>
  </si>
  <si>
    <t>Landryville</t>
  </si>
  <si>
    <t>ORD1456</t>
  </si>
  <si>
    <t>CUST684</t>
  </si>
  <si>
    <t>Browning</t>
  </si>
  <si>
    <t>Charleschester</t>
  </si>
  <si>
    <t>ORD1457</t>
  </si>
  <si>
    <t>CUST429</t>
  </si>
  <si>
    <t>Joel</t>
  </si>
  <si>
    <t>South Edwardbury</t>
  </si>
  <si>
    <t>ORD1458</t>
  </si>
  <si>
    <t>CUST758</t>
  </si>
  <si>
    <t>Cuevas</t>
  </si>
  <si>
    <t>ORD1459</t>
  </si>
  <si>
    <t>CUST227</t>
  </si>
  <si>
    <t>Malik</t>
  </si>
  <si>
    <t>East Garyfurt</t>
  </si>
  <si>
    <t>ORD1460</t>
  </si>
  <si>
    <t>CUST987</t>
  </si>
  <si>
    <t>Cross</t>
  </si>
  <si>
    <t>East Jessica</t>
  </si>
  <si>
    <t>ORD1461</t>
  </si>
  <si>
    <t>CUST976</t>
  </si>
  <si>
    <t>Port Michelle</t>
  </si>
  <si>
    <t>ORD1462</t>
  </si>
  <si>
    <t>CUST621</t>
  </si>
  <si>
    <t>Carson</t>
  </si>
  <si>
    <t>Michaelton</t>
  </si>
  <si>
    <t>ORD1463</t>
  </si>
  <si>
    <t>CUST457</t>
  </si>
  <si>
    <t>Weber</t>
  </si>
  <si>
    <t>Erikaland</t>
  </si>
  <si>
    <t>ORD1464</t>
  </si>
  <si>
    <t>CUST394</t>
  </si>
  <si>
    <t>Theresafort</t>
  </si>
  <si>
    <t>ORD1465</t>
  </si>
  <si>
    <t>CUST283</t>
  </si>
  <si>
    <t>Oconnor</t>
  </si>
  <si>
    <t>ORD1466</t>
  </si>
  <si>
    <t>Ronnie</t>
  </si>
  <si>
    <t>Davenporthaven</t>
  </si>
  <si>
    <t>ORD1467</t>
  </si>
  <si>
    <t>Matthew Jones</t>
  </si>
  <si>
    <t>South Aaronport</t>
  </si>
  <si>
    <t>ORD1468</t>
  </si>
  <si>
    <t>CUST178</t>
  </si>
  <si>
    <t>Alexanderville</t>
  </si>
  <si>
    <t>ORD1469</t>
  </si>
  <si>
    <t>CUST777</t>
  </si>
  <si>
    <t>Port Makaylamouth</t>
  </si>
  <si>
    <t>ORD1470</t>
  </si>
  <si>
    <t>CUST204</t>
  </si>
  <si>
    <t>West Juan</t>
  </si>
  <si>
    <t>ORD1471</t>
  </si>
  <si>
    <t>CUST242</t>
  </si>
  <si>
    <t>Dakota</t>
  </si>
  <si>
    <t>Hudson</t>
  </si>
  <si>
    <t>North Ethanfurt</t>
  </si>
  <si>
    <t>ORD1472</t>
  </si>
  <si>
    <t>CUST100</t>
  </si>
  <si>
    <t>Georgeburgh</t>
  </si>
  <si>
    <t>ORD1473</t>
  </si>
  <si>
    <t>CUST496</t>
  </si>
  <si>
    <t>Kathyshire</t>
  </si>
  <si>
    <t>ORD1474</t>
  </si>
  <si>
    <t>Alicia Warner</t>
  </si>
  <si>
    <t>Millerville</t>
  </si>
  <si>
    <t>ORD1475</t>
  </si>
  <si>
    <t>Cain</t>
  </si>
  <si>
    <t>North Richard</t>
  </si>
  <si>
    <t>ORD1476</t>
  </si>
  <si>
    <t>CUST294</t>
  </si>
  <si>
    <t>Miss Laura Ross</t>
  </si>
  <si>
    <t>North Ronald</t>
  </si>
  <si>
    <t>ORD1477</t>
  </si>
  <si>
    <t>Reynolds</t>
  </si>
  <si>
    <t>Davidview</t>
  </si>
  <si>
    <t>ORD1478</t>
  </si>
  <si>
    <t>CUST642</t>
  </si>
  <si>
    <t>Danielle</t>
  </si>
  <si>
    <t>Case</t>
  </si>
  <si>
    <t>East Eric</t>
  </si>
  <si>
    <t>ORD1479</t>
  </si>
  <si>
    <t>CUST338</t>
  </si>
  <si>
    <t>Decker</t>
  </si>
  <si>
    <t>Daisyview</t>
  </si>
  <si>
    <t>ORD1480</t>
  </si>
  <si>
    <t>Green</t>
  </si>
  <si>
    <t>Rachelport</t>
  </si>
  <si>
    <t>ORD1481</t>
  </si>
  <si>
    <t>Kristopher</t>
  </si>
  <si>
    <t>Joannastad</t>
  </si>
  <si>
    <t>ORD1482</t>
  </si>
  <si>
    <t>Christina</t>
  </si>
  <si>
    <t>ORD1483</t>
  </si>
  <si>
    <t>CUST660</t>
  </si>
  <si>
    <t>Johnsonville</t>
  </si>
  <si>
    <t>ORD1484</t>
  </si>
  <si>
    <t>CUST986</t>
  </si>
  <si>
    <t>Lake Stuart</t>
  </si>
  <si>
    <t>ORD1485</t>
  </si>
  <si>
    <t>Swanson</t>
  </si>
  <si>
    <t>Rebeccashire</t>
  </si>
  <si>
    <t>ORD1486</t>
  </si>
  <si>
    <t>Sheila</t>
  </si>
  <si>
    <t>New Benjamin</t>
  </si>
  <si>
    <t>ORD1487</t>
  </si>
  <si>
    <t>CUST688</t>
  </si>
  <si>
    <t>East Susanmouth</t>
  </si>
  <si>
    <t>ORD1488</t>
  </si>
  <si>
    <t>Jensen</t>
  </si>
  <si>
    <t>Smithland</t>
  </si>
  <si>
    <t>ORD1489</t>
  </si>
  <si>
    <t>CUST185</t>
  </si>
  <si>
    <t>Mendezfort</t>
  </si>
  <si>
    <t>ORD1490</t>
  </si>
  <si>
    <t>CUST212</t>
  </si>
  <si>
    <t>Cynthia Huff</t>
  </si>
  <si>
    <t>Justinstad</t>
  </si>
  <si>
    <t>ORD1491</t>
  </si>
  <si>
    <t>CUST116</t>
  </si>
  <si>
    <t>Suzanne</t>
  </si>
  <si>
    <t>Tylerborough</t>
  </si>
  <si>
    <t>ORD1492</t>
  </si>
  <si>
    <t>Port Robert</t>
  </si>
  <si>
    <t>ORD1493</t>
  </si>
  <si>
    <t>CUST182</t>
  </si>
  <si>
    <t>Pineda</t>
  </si>
  <si>
    <t>ORD1494</t>
  </si>
  <si>
    <t>CUST307</t>
  </si>
  <si>
    <t>Krystal</t>
  </si>
  <si>
    <t>Farrell</t>
  </si>
  <si>
    <t>Rebeccaville</t>
  </si>
  <si>
    <t>ORD1495</t>
  </si>
  <si>
    <t>CUST929</t>
  </si>
  <si>
    <t>Mcgee</t>
  </si>
  <si>
    <t>Steveberg</t>
  </si>
  <si>
    <t>ORD1496</t>
  </si>
  <si>
    <t>Martin</t>
  </si>
  <si>
    <t>Potts</t>
  </si>
  <si>
    <t>Jennytown</t>
  </si>
  <si>
    <t>ORD1497</t>
  </si>
  <si>
    <t>Valerie</t>
  </si>
  <si>
    <t>Lawson</t>
  </si>
  <si>
    <t>Thompsonland</t>
  </si>
  <si>
    <t>ORD1498</t>
  </si>
  <si>
    <t>Duncan</t>
  </si>
  <si>
    <t>Lake Ashleymouth</t>
  </si>
  <si>
    <t>ORD1499</t>
  </si>
  <si>
    <t>CUST571</t>
  </si>
  <si>
    <t>Dr. Anthony Reyes</t>
  </si>
  <si>
    <t>Wongview</t>
  </si>
  <si>
    <t>Month</t>
  </si>
  <si>
    <t>Year</t>
  </si>
  <si>
    <t>Sum of Total_Sales</t>
  </si>
  <si>
    <t>Row Labels</t>
  </si>
  <si>
    <t>Grand Total</t>
  </si>
  <si>
    <t>Jan</t>
  </si>
  <si>
    <t>Feb</t>
  </si>
  <si>
    <t>Mar</t>
  </si>
  <si>
    <t>Apr</t>
  </si>
  <si>
    <t>May</t>
  </si>
  <si>
    <t>Jun</t>
  </si>
  <si>
    <t>Jul</t>
  </si>
  <si>
    <t>Aug</t>
  </si>
  <si>
    <t>Sep</t>
  </si>
  <si>
    <t>Oct</t>
  </si>
  <si>
    <t>Nov</t>
  </si>
  <si>
    <t>Dec</t>
  </si>
  <si>
    <t>Customer_Name</t>
  </si>
  <si>
    <t>Alan Underwood</t>
  </si>
  <si>
    <t>Kristopher Nelson</t>
  </si>
  <si>
    <t>Michele Carter</t>
  </si>
  <si>
    <t>Philip Chandler</t>
  </si>
  <si>
    <t>Ricky Simpson</t>
  </si>
  <si>
    <t>SALES DASHBOARD</t>
  </si>
  <si>
    <t>Total Revenue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</si>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</sst>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20"/>
      <color theme="1"/>
      <name val="Calibri"/>
      <family val="2"/>
      <scheme val="minor"/>
    </font>
    <font>
      <sz val="11"/>
      <color theme="1"/>
      <name val="Algerian"/>
      <family val="5"/>
    </font>
    <font>
      <sz val="26"/>
      <color rgb="FFFF0000"/>
      <name val="Algerian"/>
      <family val="5"/>
    </font>
    <font>
      <sz val="20"/>
      <color theme="9"/>
      <name val="Algerian"/>
      <family val="5"/>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3" fillId="2" borderId="0" xfId="0" applyFont="1" applyFill="1" applyAlignment="1">
      <alignment horizontal="center"/>
    </xf>
    <xf numFmtId="0" fontId="2" fillId="2" borderId="0" xfId="0" applyFont="1" applyFill="1" applyAlignment="1">
      <alignment horizontal="center"/>
    </xf>
    <xf numFmtId="0" fontId="4" fillId="0" borderId="0" xfId="0" applyFont="1"/>
    <xf numFmtId="0" fontId="1" fillId="0" borderId="0" xfId="0" applyNumberFormat="1" applyFont="1"/>
  </cellXfs>
  <cellStyles count="1">
    <cellStyle name="Normal" xfId="0" builtinId="0"/>
  </cellStyles>
  <dxfs count="19">
    <dxf>
      <font>
        <sz val="20"/>
      </font>
    </dxf>
    <dxf>
      <font>
        <sz val="20"/>
      </font>
    </dxf>
    <dxf>
      <font>
        <color theme="9"/>
      </font>
    </dxf>
    <dxf>
      <font>
        <sz val="14"/>
      </font>
    </dxf>
    <dxf>
      <font>
        <name val="Algerian"/>
        <family val="5"/>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colors>
    <mruColors>
      <color rgb="FFEF4E3D"/>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Pivot_Region!$A$4:$A$8</c:f>
              <c:strCache>
                <c:ptCount val="4"/>
                <c:pt idx="0">
                  <c:v>East</c:v>
                </c:pt>
                <c:pt idx="1">
                  <c:v>North</c:v>
                </c:pt>
                <c:pt idx="2">
                  <c:v>South</c:v>
                </c:pt>
                <c:pt idx="3">
                  <c:v>West</c:v>
                </c:pt>
              </c:strCache>
            </c:strRef>
          </c:cat>
          <c:val>
            <c:numRef>
              <c:f>Pivot_Region!$B$4:$B$8</c:f>
              <c:numCache>
                <c:formatCode>General</c:formatCode>
                <c:ptCount val="4"/>
                <c:pt idx="0">
                  <c:v>13371858</c:v>
                </c:pt>
                <c:pt idx="1">
                  <c:v>20330367</c:v>
                </c:pt>
                <c:pt idx="2">
                  <c:v>11195974</c:v>
                </c:pt>
                <c:pt idx="3">
                  <c:v>12143536</c:v>
                </c:pt>
              </c:numCache>
            </c:numRef>
          </c:val>
          <c:extLst>
            <c:ext xmlns:c16="http://schemas.microsoft.com/office/drawing/2014/chart" uri="{C3380CC4-5D6E-409C-BE32-E72D297353CC}">
              <c16:uniqueId val="{00000000-9EC3-4728-A5F7-3DD9996A4F6B}"/>
            </c:ext>
          </c:extLst>
        </c:ser>
        <c:dLbls>
          <c:showLegendKey val="0"/>
          <c:showVal val="0"/>
          <c:showCatName val="0"/>
          <c:showSerName val="0"/>
          <c:showPercent val="0"/>
          <c:showBubbleSize val="0"/>
        </c:dLbls>
        <c:gapWidth val="219"/>
        <c:overlap val="-27"/>
        <c:axId val="2125808528"/>
        <c:axId val="1913518560"/>
      </c:barChart>
      <c:catAx>
        <c:axId val="212580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518560"/>
        <c:crosses val="autoZero"/>
        <c:auto val="1"/>
        <c:lblAlgn val="ctr"/>
        <c:lblOffset val="100"/>
        <c:noMultiLvlLbl val="0"/>
      </c:catAx>
      <c:valAx>
        <c:axId val="191351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0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[Sales_Dashboard.xlsx]Pivot_Product!PivotTable3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Pivot_Product!$A$4:$A$11</c:f>
              <c:strCache>
                <c:ptCount val="7"/>
                <c:pt idx="0">
                  <c:v>Camera</c:v>
                </c:pt>
                <c:pt idx="1">
                  <c:v>Headphones</c:v>
                </c:pt>
                <c:pt idx="2">
                  <c:v>Laptop</c:v>
                </c:pt>
                <c:pt idx="3">
                  <c:v>Mobile</c:v>
                </c:pt>
                <c:pt idx="4">
                  <c:v>Printer</c:v>
                </c:pt>
                <c:pt idx="5">
                  <c:v>Smartwatch</c:v>
                </c:pt>
                <c:pt idx="6">
                  <c:v>Tablet</c:v>
                </c:pt>
              </c:strCache>
            </c:strRef>
          </c:cat>
          <c:val>
            <c:numRef>
              <c:f>Pivot_Product!$B$4:$B$11</c:f>
              <c:numCache>
                <c:formatCode>General</c:formatCode>
                <c:ptCount val="7"/>
                <c:pt idx="0">
                  <c:v>9161986</c:v>
                </c:pt>
                <c:pt idx="1">
                  <c:v>6357849</c:v>
                </c:pt>
                <c:pt idx="2">
                  <c:v>9447220</c:v>
                </c:pt>
                <c:pt idx="3">
                  <c:v>8924585</c:v>
                </c:pt>
                <c:pt idx="4">
                  <c:v>8586807</c:v>
                </c:pt>
                <c:pt idx="5">
                  <c:v>6505263</c:v>
                </c:pt>
                <c:pt idx="6">
                  <c:v>8058025</c:v>
                </c:pt>
              </c:numCache>
            </c:numRef>
          </c:val>
          <c:extLst>
            <c:ext xmlns:c16="http://schemas.microsoft.com/office/drawing/2014/chart" uri="{C3380CC4-5D6E-409C-BE32-E72D297353CC}">
              <c16:uniqueId val="{00000000-DBB1-44B1-827A-729D696D60FD}"/>
            </c:ext>
          </c:extLst>
        </c:ser>
        <c:dLbls>
          <c:dLblPos val="outEnd"/>
          <c:showLegendKey val="0"/>
          <c:showVal val="1"/>
          <c:showCatName val="0"/>
          <c:showSerName val="0"/>
          <c:showPercent val="0"/>
          <c:showBubbleSize val="0"/>
        </c:dLbls>
        <c:gapWidth val="219"/>
        <c:overlap val="-27"/>
        <c:axId val="2135044592"/>
        <c:axId val="2139945824"/>
      </c:barChart>
      <c:catAx>
        <c:axId val="213504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45824"/>
        <c:crosses val="autoZero"/>
        <c:auto val="1"/>
        <c:lblAlgn val="ctr"/>
        <c:lblOffset val="100"/>
        <c:noMultiLvlLbl val="0"/>
      </c:catAx>
      <c:valAx>
        <c:axId val="213994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0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[Sales_Dashboard.xlsx]Pivot_Monthly!PivotTable4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Pivot_Monthly!$B$3</c:f>
              <c:strCache>
                <c:ptCount val="1"/>
                <c:pt idx="0">
                  <c:v>Total</c:v>
                </c:pt>
              </c:strCache>
            </c:strRef>
          </c:tx>
          <c:spPr>
            <a:solidFill>
              <a:schemeClr val="accent1"/>
            </a:solidFill>
            <a:ln>
              <a:noFill/>
            </a:ln>
            <a:effectLst/>
          </c:spPr>
          <c:invertIfNegative val="0"/>
          <c:cat>
            <c:strRef>
              <c:f>Pivot_Monthly!$A$4:$A$16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Pivot_Monthly!$B$4:$B$16</c:f>
              <c:numCache>
                <c:formatCode>General</c:formatCode>
                <c:ptCount val="12"/>
                <c:pt idx="0">
                  <c:v>4403707</c:v>
                </c:pt>
                <c:pt idx="1">
                  <c:v>3987539</c:v>
                </c:pt>
                <c:pt idx="2">
                  <c:v>5720295</c:v>
                </c:pt>
                <c:pt idx="3">
                  <c:v>5763235</c:v>
                </c:pt>
                <c:pt idx="4">
                  <c:v>3284800</c:v>
                </c:pt>
                <c:pt idx="5">
                  <c:v>3982648</c:v>
                </c:pt>
                <c:pt idx="6">
                  <c:v>4253412</c:v>
                </c:pt>
                <c:pt idx="7">
                  <c:v>4615404</c:v>
                </c:pt>
                <c:pt idx="8">
                  <c:v>4992459</c:v>
                </c:pt>
                <c:pt idx="9">
                  <c:v>5094613</c:v>
                </c:pt>
                <c:pt idx="10">
                  <c:v>4605902</c:v>
                </c:pt>
                <c:pt idx="11">
                  <c:v>6337721</c:v>
                </c:pt>
              </c:numCache>
            </c:numRef>
          </c:val>
          <c:extLst>
            <c:ext xmlns:c16="http://schemas.microsoft.com/office/drawing/2014/chart" uri="{C3380CC4-5D6E-409C-BE32-E72D297353CC}">
              <c16:uniqueId val="{00000000-69C4-4BE0-AB77-A193EF875549}"/>
            </c:ext>
          </c:extLst>
        </c:ser>
        <c:dLbls>
          <c:showLegendKey val="0"/>
          <c:showVal val="0"/>
          <c:showCatName val="0"/>
          <c:showSerName val="0"/>
          <c:showPercent val="0"/>
          <c:showBubbleSize val="0"/>
        </c:dLbls>
        <c:gapWidth val="219"/>
        <c:overlap val="-27"/>
        <c:axId val="1918679696"/>
        <c:axId val="2137528752"/>
      </c:barChart>
      <c:catAx>
        <c:axId val="191867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28752"/>
        <c:crosses val="autoZero"/>
        <c:auto val="1"/>
        <c:lblAlgn val="ctr"/>
        <c:lblOffset val="100"/>
        <c:noMultiLvlLbl val="0"/>
      </c:catAx>
      <c:valAx>
        <c:axId val="213752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7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[Sales_Dashboard.xlsx]Pivot_Region!PivotTable2</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latin typeface="Arial Black" panose="020B0A04020102020204" pitchFamily="34" charset="0"/>
              </a:rPr>
              <a:t>Revenue by</a:t>
            </a:r>
            <a:r>
              <a:rPr lang="en-US" sz="1600" baseline="0">
                <a:latin typeface="Arial Black" panose="020B0A04020102020204" pitchFamily="34" charset="0"/>
              </a:rPr>
              <a:t>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F0"/>
          </a:solidFill>
          <a:ln>
            <a:noFill/>
          </a:ln>
          <a:effectLst/>
        </c:spPr>
        <c:marker>
          <c:symbol val="none"/>
        </c:marker>
      </c:pivotFmt>
    </c:pivotFmts>
    <c:plotArea>
      <c:layout/>
      <c:barChart>
        <c:barDir val="col"/>
        <c:grouping val="clustered"/>
        <c:varyColors val="0"/>
        <c:ser>
          <c:idx val="0"/>
          <c:order val="0"/>
          <c:tx>
            <c:strRef>
              <c:f>Pivot_Region!$B$3</c:f>
              <c:strCache>
                <c:ptCount val="1"/>
                <c:pt idx="0">
                  <c:v>Total</c:v>
                </c:pt>
              </c:strCache>
            </c:strRef>
          </c:tx>
          <c:spPr>
            <a:solidFill>
              <a:srgbClr val="00B0F0"/>
            </a:solidFill>
            <a:ln>
              <a:noFill/>
            </a:ln>
            <a:effectLst/>
          </c:spPr>
          <c:invertIfNegative val="0"/>
          <c:cat>
            <c:strRef>
              <c:f>Pivot_Region!$A$4:$A$8</c:f>
              <c:strCache>
                <c:ptCount val="4"/>
                <c:pt idx="0">
                  <c:v>East</c:v>
                </c:pt>
                <c:pt idx="1">
                  <c:v>North</c:v>
                </c:pt>
                <c:pt idx="2">
                  <c:v>South</c:v>
                </c:pt>
                <c:pt idx="3">
                  <c:v>West</c:v>
                </c:pt>
              </c:strCache>
            </c:strRef>
          </c:cat>
          <c:val>
            <c:numRef>
              <c:f>Pivot_Region!$B$4:$B$8</c:f>
              <c:numCache>
                <c:formatCode>General</c:formatCode>
                <c:ptCount val="4"/>
                <c:pt idx="0">
                  <c:v>13371858</c:v>
                </c:pt>
                <c:pt idx="1">
                  <c:v>20330367</c:v>
                </c:pt>
                <c:pt idx="2">
                  <c:v>11195974</c:v>
                </c:pt>
                <c:pt idx="3">
                  <c:v>12143536</c:v>
                </c:pt>
              </c:numCache>
            </c:numRef>
          </c:val>
          <c:extLst>
            <c:ext xmlns:c16="http://schemas.microsoft.com/office/drawing/2014/chart" uri="{C3380CC4-5D6E-409C-BE32-E72D297353CC}">
              <c16:uniqueId val="{00000000-897E-45F1-A94F-62D0B1BB522A}"/>
            </c:ext>
          </c:extLst>
        </c:ser>
        <c:dLbls>
          <c:showLegendKey val="0"/>
          <c:showVal val="0"/>
          <c:showCatName val="0"/>
          <c:showSerName val="0"/>
          <c:showPercent val="0"/>
          <c:showBubbleSize val="0"/>
        </c:dLbls>
        <c:gapWidth val="219"/>
        <c:overlap val="-27"/>
        <c:axId val="2125808528"/>
        <c:axId val="1913518560"/>
      </c:barChart>
      <c:catAx>
        <c:axId val="212580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518560"/>
        <c:crosses val="autoZero"/>
        <c:auto val="1"/>
        <c:lblAlgn val="ctr"/>
        <c:lblOffset val="100"/>
        <c:noMultiLvlLbl val="0"/>
      </c:catAx>
      <c:valAx>
        <c:axId val="191351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0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[Sales_Dashboard.xlsx]Pivot_Product!PivotTable3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ial Black" panose="020B0A04020102020204" pitchFamily="34" charset="0"/>
              </a:rPr>
              <a:t>Product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s>
    <c:plotArea>
      <c:layout/>
      <c:barChart>
        <c:barDir val="col"/>
        <c:grouping val="clustered"/>
        <c:varyColors val="0"/>
        <c:ser>
          <c:idx val="0"/>
          <c:order val="0"/>
          <c:tx>
            <c:strRef>
              <c:f>Pivot_Product!$B$3</c:f>
              <c:strCache>
                <c:ptCount val="1"/>
                <c:pt idx="0">
                  <c:v>Total</c:v>
                </c:pt>
              </c:strCache>
            </c:strRef>
          </c:tx>
          <c:spPr>
            <a:solidFill>
              <a:schemeClr val="accent1"/>
            </a:solidFill>
            <a:ln>
              <a:noFill/>
            </a:ln>
            <a:effectLst/>
          </c:spPr>
          <c:invertIfNegative val="0"/>
          <c:cat>
            <c:strRef>
              <c:f>Pivot_Product!$A$4:$A$11</c:f>
              <c:strCache>
                <c:ptCount val="7"/>
                <c:pt idx="0">
                  <c:v>Camera</c:v>
                </c:pt>
                <c:pt idx="1">
                  <c:v>Headphones</c:v>
                </c:pt>
                <c:pt idx="2">
                  <c:v>Laptop</c:v>
                </c:pt>
                <c:pt idx="3">
                  <c:v>Mobile</c:v>
                </c:pt>
                <c:pt idx="4">
                  <c:v>Printer</c:v>
                </c:pt>
                <c:pt idx="5">
                  <c:v>Smartwatch</c:v>
                </c:pt>
                <c:pt idx="6">
                  <c:v>Tablet</c:v>
                </c:pt>
              </c:strCache>
            </c:strRef>
          </c:cat>
          <c:val>
            <c:numRef>
              <c:f>Pivot_Product!$B$4:$B$11</c:f>
              <c:numCache>
                <c:formatCode>General</c:formatCode>
                <c:ptCount val="7"/>
                <c:pt idx="0">
                  <c:v>9161986</c:v>
                </c:pt>
                <c:pt idx="1">
                  <c:v>6357849</c:v>
                </c:pt>
                <c:pt idx="2">
                  <c:v>9447220</c:v>
                </c:pt>
                <c:pt idx="3">
                  <c:v>8924585</c:v>
                </c:pt>
                <c:pt idx="4">
                  <c:v>8586807</c:v>
                </c:pt>
                <c:pt idx="5">
                  <c:v>6505263</c:v>
                </c:pt>
                <c:pt idx="6">
                  <c:v>8058025</c:v>
                </c:pt>
              </c:numCache>
            </c:numRef>
          </c:val>
          <c:extLst>
            <c:ext xmlns:c16="http://schemas.microsoft.com/office/drawing/2014/chart" uri="{C3380CC4-5D6E-409C-BE32-E72D297353CC}">
              <c16:uniqueId val="{00000000-C948-42A2-A91E-053C164E2C24}"/>
            </c:ext>
          </c:extLst>
        </c:ser>
        <c:dLbls>
          <c:dLblPos val="outEnd"/>
          <c:showLegendKey val="0"/>
          <c:showVal val="0"/>
          <c:showCatName val="0"/>
          <c:showSerName val="0"/>
          <c:showPercent val="0"/>
          <c:showBubbleSize val="0"/>
        </c:dLbls>
        <c:gapWidth val="219"/>
        <c:overlap val="-27"/>
        <c:axId val="2135044592"/>
        <c:axId val="2139945824"/>
      </c:barChart>
      <c:catAx>
        <c:axId val="213504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45824"/>
        <c:crosses val="autoZero"/>
        <c:auto val="1"/>
        <c:lblAlgn val="ctr"/>
        <c:lblOffset val="100"/>
        <c:noMultiLvlLbl val="0"/>
      </c:catAx>
      <c:valAx>
        <c:axId val="213994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0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[Sales_Dashboard.xlsx]Pivot_Monthly!PivotTable4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ial Black" panose="020B0A04020102020204" pitchFamily="34" charset="0"/>
              </a:rPr>
              <a:t>Monthly</a:t>
            </a:r>
            <a:r>
              <a:rPr lang="en-US" sz="1600" baseline="0">
                <a:latin typeface="Arial Black" panose="020B0A04020102020204" pitchFamily="34" charset="0"/>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92D050"/>
          </a:solidFill>
          <a:ln>
            <a:noFill/>
          </a:ln>
          <a:effectLst/>
        </c:spPr>
        <c:marker>
          <c:symbol val="none"/>
        </c:marker>
      </c:pivotFmt>
    </c:pivotFmts>
    <c:plotArea>
      <c:layout/>
      <c:barChart>
        <c:barDir val="col"/>
        <c:grouping val="clustered"/>
        <c:varyColors val="0"/>
        <c:ser>
          <c:idx val="0"/>
          <c:order val="0"/>
          <c:tx>
            <c:strRef>
              <c:f>Pivot_Monthly!$B$3</c:f>
              <c:strCache>
                <c:ptCount val="1"/>
                <c:pt idx="0">
                  <c:v>Total</c:v>
                </c:pt>
              </c:strCache>
            </c:strRef>
          </c:tx>
          <c:spPr>
            <a:solidFill>
              <a:srgbClr val="92D050"/>
            </a:solidFill>
            <a:ln>
              <a:noFill/>
            </a:ln>
            <a:effectLst/>
          </c:spPr>
          <c:invertIfNegative val="0"/>
          <c:cat>
            <c:strRef>
              <c:f>Pivot_Monthly!$A$4:$A$16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Pivot_Monthly!$B$4:$B$16</c:f>
              <c:numCache>
                <c:formatCode>General</c:formatCode>
                <c:ptCount val="12"/>
                <c:pt idx="0">
                  <c:v>4403707</c:v>
                </c:pt>
                <c:pt idx="1">
                  <c:v>3987539</c:v>
                </c:pt>
                <c:pt idx="2">
                  <c:v>5720295</c:v>
                </c:pt>
                <c:pt idx="3">
                  <c:v>5763235</c:v>
                </c:pt>
                <c:pt idx="4">
                  <c:v>3284800</c:v>
                </c:pt>
                <c:pt idx="5">
                  <c:v>3982648</c:v>
                </c:pt>
                <c:pt idx="6">
                  <c:v>4253412</c:v>
                </c:pt>
                <c:pt idx="7">
                  <c:v>4615404</c:v>
                </c:pt>
                <c:pt idx="8">
                  <c:v>4992459</c:v>
                </c:pt>
                <c:pt idx="9">
                  <c:v>5094613</c:v>
                </c:pt>
                <c:pt idx="10">
                  <c:v>4605902</c:v>
                </c:pt>
                <c:pt idx="11">
                  <c:v>6337721</c:v>
                </c:pt>
              </c:numCache>
            </c:numRef>
          </c:val>
          <c:extLst>
            <c:ext xmlns:c16="http://schemas.microsoft.com/office/drawing/2014/chart" uri="{C3380CC4-5D6E-409C-BE32-E72D297353CC}">
              <c16:uniqueId val="{00000000-F2AF-456D-8851-57AD7352F1B3}"/>
            </c:ext>
          </c:extLst>
        </c:ser>
        <c:dLbls>
          <c:showLegendKey val="0"/>
          <c:showVal val="0"/>
          <c:showCatName val="0"/>
          <c:showSerName val="0"/>
          <c:showPercent val="0"/>
          <c:showBubbleSize val="0"/>
        </c:dLbls>
        <c:gapWidth val="219"/>
        <c:overlap val="-27"/>
        <c:axId val="1918679696"/>
        <c:axId val="2137528752"/>
      </c:barChart>
      <c:catAx>
        <c:axId val="191867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28752"/>
        <c:crosses val="autoZero"/>
        <c:auto val="1"/>
        <c:lblAlgn val="ctr"/>
        <c:lblOffset val="100"/>
        <c:noMultiLvlLbl val="0"/>
      </c:catAx>
      <c:valAx>
        <c:axId val="213752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7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[Sales_Dashboard.xlsx]Pivot_Customers!PivotTable4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ial Black" panose="020B0A04020102020204" pitchFamily="34" charset="0"/>
              </a:rPr>
              <a:t>Top</a:t>
            </a:r>
            <a:r>
              <a:rPr lang="en-US" sz="1600" baseline="0">
                <a:latin typeface="Arial Black" panose="020B0A04020102020204" pitchFamily="34" charset="0"/>
              </a:rPr>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EF4E3D"/>
          </a:solidFill>
          <a:ln>
            <a:noFill/>
          </a:ln>
          <a:effectLst/>
        </c:spPr>
        <c:marker>
          <c:symbol val="none"/>
        </c:marker>
      </c:pivotFmt>
    </c:pivotFmts>
    <c:plotArea>
      <c:layout/>
      <c:barChart>
        <c:barDir val="col"/>
        <c:grouping val="clustered"/>
        <c:varyColors val="0"/>
        <c:ser>
          <c:idx val="0"/>
          <c:order val="0"/>
          <c:tx>
            <c:strRef>
              <c:f>Pivot_Customers!$B$3</c:f>
              <c:strCache>
                <c:ptCount val="1"/>
                <c:pt idx="0">
                  <c:v>Total</c:v>
                </c:pt>
              </c:strCache>
            </c:strRef>
          </c:tx>
          <c:spPr>
            <a:solidFill>
              <a:srgbClr val="EF4E3D"/>
            </a:solidFill>
            <a:ln>
              <a:noFill/>
            </a:ln>
            <a:effectLst/>
          </c:spPr>
          <c:invertIfNegative val="0"/>
          <c:cat>
            <c:strRef>
              <c:f>Pivot_Customers!$A$4:$A$9</c:f>
              <c:strCache>
                <c:ptCount val="5"/>
                <c:pt idx="0">
                  <c:v>Alan Underwood</c:v>
                </c:pt>
                <c:pt idx="1">
                  <c:v>Kristopher Nelson</c:v>
                </c:pt>
                <c:pt idx="2">
                  <c:v>Michele Carter</c:v>
                </c:pt>
                <c:pt idx="3">
                  <c:v>Philip Chandler</c:v>
                </c:pt>
                <c:pt idx="4">
                  <c:v>Ricky Simpson</c:v>
                </c:pt>
              </c:strCache>
            </c:strRef>
          </c:cat>
          <c:val>
            <c:numRef>
              <c:f>Pivot_Customers!$B$4:$B$9</c:f>
              <c:numCache>
                <c:formatCode>General</c:formatCode>
                <c:ptCount val="5"/>
                <c:pt idx="0">
                  <c:v>393505</c:v>
                </c:pt>
                <c:pt idx="1">
                  <c:v>378270</c:v>
                </c:pt>
                <c:pt idx="2">
                  <c:v>369965</c:v>
                </c:pt>
                <c:pt idx="3">
                  <c:v>383355</c:v>
                </c:pt>
                <c:pt idx="4">
                  <c:v>380865</c:v>
                </c:pt>
              </c:numCache>
            </c:numRef>
          </c:val>
          <c:extLst>
            <c:ext xmlns:c16="http://schemas.microsoft.com/office/drawing/2014/chart" uri="{C3380CC4-5D6E-409C-BE32-E72D297353CC}">
              <c16:uniqueId val="{00000000-3B83-4F61-BE5B-7C1EE03049D0}"/>
            </c:ext>
          </c:extLst>
        </c:ser>
        <c:dLbls>
          <c:showLegendKey val="0"/>
          <c:showVal val="0"/>
          <c:showCatName val="0"/>
          <c:showSerName val="0"/>
          <c:showPercent val="0"/>
          <c:showBubbleSize val="0"/>
        </c:dLbls>
        <c:gapWidth val="219"/>
        <c:overlap val="-27"/>
        <c:axId val="2124802672"/>
        <c:axId val="2139949984"/>
      </c:barChart>
      <c:catAx>
        <c:axId val="212480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49984"/>
        <c:crosses val="autoZero"/>
        <c:auto val="1"/>
        <c:lblAlgn val="ctr"/>
        <c:lblOffset val="100"/>
        <c:noMultiLvlLbl val="0"/>
      </c:catAx>
      <c:valAx>
        <c:axId val="2139949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0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[Sales_Dashboard.xlsx]Pivot_Customers!PivotTable4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Pivot_Customers!$B$3</c:f>
              <c:strCache>
                <c:ptCount val="1"/>
                <c:pt idx="0">
                  <c:v>Total</c:v>
                </c:pt>
              </c:strCache>
            </c:strRef>
          </c:tx>
          <c:spPr>
            <a:solidFill>
              <a:schemeClr val="accent1"/>
            </a:solidFill>
            <a:ln>
              <a:noFill/>
            </a:ln>
            <a:effectLst/>
          </c:spPr>
          <c:invertIfNegative val="0"/>
          <c:cat>
            <c:strRef>
              <c:f>Pivot_Customers!$A$4:$A$9</c:f>
              <c:strCache>
                <c:ptCount val="5"/>
                <c:pt idx="0">
                  <c:v>Alan Underwood</c:v>
                </c:pt>
                <c:pt idx="1">
                  <c:v>Kristopher Nelson</c:v>
                </c:pt>
                <c:pt idx="2">
                  <c:v>Michele Carter</c:v>
                </c:pt>
                <c:pt idx="3">
                  <c:v>Philip Chandler</c:v>
                </c:pt>
                <c:pt idx="4">
                  <c:v>Ricky Simpson</c:v>
                </c:pt>
              </c:strCache>
            </c:strRef>
          </c:cat>
          <c:val>
            <c:numRef>
              <c:f>Pivot_Customers!$B$4:$B$9</c:f>
              <c:numCache>
                <c:formatCode>General</c:formatCode>
                <c:ptCount val="5"/>
                <c:pt idx="0">
                  <c:v>393505</c:v>
                </c:pt>
                <c:pt idx="1">
                  <c:v>378270</c:v>
                </c:pt>
                <c:pt idx="2">
                  <c:v>369965</c:v>
                </c:pt>
                <c:pt idx="3">
                  <c:v>383355</c:v>
                </c:pt>
                <c:pt idx="4">
                  <c:v>380865</c:v>
                </c:pt>
              </c:numCache>
            </c:numRef>
          </c:val>
          <c:extLst>
            <c:ext xmlns:c16="http://schemas.microsoft.com/office/drawing/2014/chart" uri="{C3380CC4-5D6E-409C-BE32-E72D297353CC}">
              <c16:uniqueId val="{00000001-14D4-45C0-9BB2-F753B1D962E8}"/>
            </c:ext>
          </c:extLst>
        </c:ser>
        <c:dLbls>
          <c:showLegendKey val="0"/>
          <c:showVal val="0"/>
          <c:showCatName val="0"/>
          <c:showSerName val="0"/>
          <c:showPercent val="0"/>
          <c:showBubbleSize val="0"/>
        </c:dLbls>
        <c:gapWidth val="219"/>
        <c:overlap val="-27"/>
        <c:axId val="2124802672"/>
        <c:axId val="2139949984"/>
      </c:barChart>
      <c:catAx>
        <c:axId val="212480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49984"/>
        <c:crosses val="autoZero"/>
        <c:auto val="1"/>
        <c:lblAlgn val="ctr"/>
        <c:lblOffset val="100"/>
        <c:noMultiLvlLbl val="0"/>
      </c:catAx>
      <c:valAx>
        <c:axId val="2139949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0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95250</xdr:colOff>
      <xdr:row>4</xdr:row>
      <xdr:rowOff>33337</xdr:rowOff>
    </xdr:from>
    <xdr:to>
      <xdr:col>12</xdr:col>
      <xdr:colOff>400050</xdr:colOff>
      <xdr:row>18</xdr:row>
      <xdr:rowOff>109537</xdr:rowOff>
    </xdr:to>
    <xdr:graphicFrame macro="">
      <xdr:nvGraphicFramePr>
        <xdr:cNvPr id="2" name="Chart 1">
          <a:extLst>
            <a:ext uri="{FF2B5EF4-FFF2-40B4-BE49-F238E27FC236}">
              <a16:creationId xmlns:a16="http://schemas.microsoft.com/office/drawing/2014/main" id="{416DD2A3-D7C0-497D-9668-95616B7B8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95250</xdr:colOff>
      <xdr:row>4</xdr:row>
      <xdr:rowOff>33337</xdr:rowOff>
    </xdr:from>
    <xdr:to>
      <xdr:col>12</xdr:col>
      <xdr:colOff>400050</xdr:colOff>
      <xdr:row>18</xdr:row>
      <xdr:rowOff>109537</xdr:rowOff>
    </xdr:to>
    <xdr:graphicFrame macro="">
      <xdr:nvGraphicFramePr>
        <xdr:cNvPr id="2" name="Chart 1">
          <a:extLst>
            <a:ext uri="{FF2B5EF4-FFF2-40B4-BE49-F238E27FC236}">
              <a16:creationId xmlns:a16="http://schemas.microsoft.com/office/drawing/2014/main" id="{233FF746-39BE-49F6-B027-C3AF07CC0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95250</xdr:colOff>
      <xdr:row>4</xdr:row>
      <xdr:rowOff>33337</xdr:rowOff>
    </xdr:from>
    <xdr:to>
      <xdr:col>12</xdr:col>
      <xdr:colOff>400050</xdr:colOff>
      <xdr:row>18</xdr:row>
      <xdr:rowOff>109537</xdr:rowOff>
    </xdr:to>
    <xdr:graphicFrame macro="">
      <xdr:nvGraphicFramePr>
        <xdr:cNvPr id="2" name="Chart 1">
          <a:extLst>
            <a:ext uri="{FF2B5EF4-FFF2-40B4-BE49-F238E27FC236}">
              <a16:creationId xmlns:a16="http://schemas.microsoft.com/office/drawing/2014/main" id="{7E1A7F68-43FC-4A5A-B2EC-EFBE1AF65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145677</xdr:colOff>
      <xdr:row>1</xdr:row>
      <xdr:rowOff>179294</xdr:rowOff>
    </xdr:from>
    <xdr:to>
      <xdr:col>10</xdr:col>
      <xdr:colOff>533401</xdr:colOff>
      <xdr:row>13</xdr:row>
      <xdr:rowOff>78442</xdr:rowOff>
    </xdr:to>
    <xdr:graphicFrame macro="">
      <xdr:nvGraphicFramePr>
        <xdr:cNvPr id="2" name="Chart 1">
          <a:extLst>
            <a:ext uri="{FF2B5EF4-FFF2-40B4-BE49-F238E27FC236}">
              <a16:creationId xmlns:a16="http://schemas.microsoft.com/office/drawing/2014/main" id="{153D3D1D-52B9-4F76-BAE0-6D26158EB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9525</xdr:colOff>
      <xdr:row>2</xdr:row>
      <xdr:rowOff>0</xdr:rowOff>
    </xdr:from>
    <xdr:to>
      <xdr:col>18</xdr:col>
      <xdr:colOff>383323</xdr:colOff>
      <xdr:row>13</xdr:row>
      <xdr:rowOff>104542</xdr:rowOff>
    </xdr:to>
    <xdr:graphicFrame macro="">
      <xdr:nvGraphicFramePr>
        <xdr:cNvPr id="3" name="Chart 2">
          <a:extLst>
            <a:ext uri="{FF2B5EF4-FFF2-40B4-BE49-F238E27FC236}">
              <a16:creationId xmlns:a16="http://schemas.microsoft.com/office/drawing/2014/main" id="{714278C5-8BC0-404A-99E8-C1D8CA3D5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150159</xdr:colOff>
      <xdr:row>13</xdr:row>
      <xdr:rowOff>134469</xdr:rowOff>
    </xdr:from>
    <xdr:to>
      <xdr:col>10</xdr:col>
      <xdr:colOff>549089</xdr:colOff>
      <xdr:row>26</xdr:row>
      <xdr:rowOff>185853</xdr:rowOff>
    </xdr:to>
    <xdr:graphicFrame macro="">
      <xdr:nvGraphicFramePr>
        <xdr:cNvPr id="4" name="Chart 3">
          <a:extLst>
            <a:ext uri="{FF2B5EF4-FFF2-40B4-BE49-F238E27FC236}">
              <a16:creationId xmlns:a16="http://schemas.microsoft.com/office/drawing/2014/main" id="{FB289A58-62B2-470A-91B0-E5919EEB4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14</xdr:row>
      <xdr:rowOff>0</xdr:rowOff>
    </xdr:from>
    <xdr:to>
      <xdr:col>18</xdr:col>
      <xdr:colOff>394939</xdr:colOff>
      <xdr:row>27</xdr:row>
      <xdr:rowOff>0</xdr:rowOff>
    </xdr:to>
    <xdr:graphicFrame macro="">
      <xdr:nvGraphicFramePr>
        <xdr:cNvPr id="5" name="Chart 4">
          <a:extLst>
            <a:ext uri="{FF2B5EF4-FFF2-40B4-BE49-F238E27FC236}">
              <a16:creationId xmlns:a16="http://schemas.microsoft.com/office/drawing/2014/main" id="{CF14B1C4-5E66-45E5-9408-9A8C1B75E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480432</xdr:colOff>
      <xdr:row>4</xdr:row>
      <xdr:rowOff>131492</xdr:rowOff>
    </xdr:from>
    <xdr:to>
      <xdr:col>19</xdr:col>
      <xdr:colOff>1277744</xdr:colOff>
      <xdr:row>12</xdr:row>
      <xdr:rowOff>81312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2F2237D-1005-45C4-ABB7-C647FED383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96286" y="1200151"/>
              <a:ext cx="1563958" cy="1436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492047</xdr:colOff>
      <xdr:row>12</xdr:row>
      <xdr:rowOff>154725</xdr:rowOff>
    </xdr:from>
    <xdr:to>
      <xdr:col>19</xdr:col>
      <xdr:colOff>1277744</xdr:colOff>
      <xdr:row>24</xdr:row>
      <xdr:rowOff>162623</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C9A3E87C-77A4-49D9-B3EC-4B70AFE75E3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107901" y="2710213"/>
              <a:ext cx="1552343" cy="2238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1328388</xdr:colOff>
      <xdr:row>12</xdr:row>
      <xdr:rowOff>177955</xdr:rowOff>
    </xdr:from>
    <xdr:to>
      <xdr:col>20</xdr:col>
      <xdr:colOff>604022</xdr:colOff>
      <xdr:row>22</xdr:row>
      <xdr:rowOff>58078</xdr:rowOff>
    </xdr:to>
    <mc:AlternateContent xmlns:mc="http://schemas.openxmlformats.org/markup-compatibility/2006">
      <mc:Choice xmlns:a14="http://schemas.microsoft.com/office/drawing/2010/main" Requires="a14">
        <xdr:graphicFrame macro="">
          <xdr:nvGraphicFramePr>
            <xdr:cNvPr id="8" name="Payment_Method">
              <a:extLst>
                <a:ext uri="{FF2B5EF4-FFF2-40B4-BE49-F238E27FC236}">
                  <a16:creationId xmlns:a16="http://schemas.microsoft.com/office/drawing/2014/main" id="{8A5D0DF7-C2E7-4B5F-BD69-DE3FFAFF0AE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3710888" y="2733443"/>
              <a:ext cx="1598805" cy="1738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1305158</xdr:colOff>
      <xdr:row>4</xdr:row>
      <xdr:rowOff>131489</xdr:rowOff>
    </xdr:from>
    <xdr:to>
      <xdr:col>20</xdr:col>
      <xdr:colOff>592408</xdr:colOff>
      <xdr:row>12</xdr:row>
      <xdr:rowOff>34848</xdr:rowOff>
    </xdr:to>
    <mc:AlternateContent xmlns:mc="http://schemas.openxmlformats.org/markup-compatibility/2006">
      <mc:Choice xmlns:a14="http://schemas.microsoft.com/office/drawing/2010/main" Requires="a14">
        <xdr:graphicFrame macro="">
          <xdr:nvGraphicFramePr>
            <xdr:cNvPr id="9" name="Order_Status">
              <a:extLst>
                <a:ext uri="{FF2B5EF4-FFF2-40B4-BE49-F238E27FC236}">
                  <a16:creationId xmlns:a16="http://schemas.microsoft.com/office/drawing/2014/main" id="{C63F8849-E41A-49C0-9DC6-8115F54AF539}"/>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13687658" y="1200148"/>
              <a:ext cx="1610421" cy="1390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328612</xdr:colOff>
      <xdr:row>4</xdr:row>
      <xdr:rowOff>33337</xdr:rowOff>
    </xdr:from>
    <xdr:to>
      <xdr:col>10</xdr:col>
      <xdr:colOff>23812</xdr:colOff>
      <xdr:row>18</xdr:row>
      <xdr:rowOff>109537</xdr:rowOff>
    </xdr:to>
    <xdr:graphicFrame macro="">
      <xdr:nvGraphicFramePr>
        <xdr:cNvPr id="2" name="Chart 1">
          <a:extLst>
            <a:ext uri="{FF2B5EF4-FFF2-40B4-BE49-F238E27FC236}">
              <a16:creationId xmlns:a16="http://schemas.microsoft.com/office/drawing/2014/main" id="{2B2B3C6C-DF32-4DE0-9607-3BF723944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4.917149537039" createdVersion="6" refreshedVersion="6" minRefreshableVersion="3" recordCount="500" xr:uid="{1AEEE0C8-6245-49EC-B005-D6C15FDC34EB}">
  <cacheSource type="worksheet">
    <worksheetSource name="SalesDataset"/>
  </cacheSource>
  <cacheFields count="17">
    <cacheField name="Order_ID" numFmtId="0">
      <sharedItems/>
    </cacheField>
    <cacheField name="Order_Date" numFmtId="14">
      <sharedItems containsSemiMixedTypes="0" containsNonDate="0" containsDate="1" containsString="0" minDate="2025-05-01T00:00:00" maxDate="2026-05-01T00:00:00"/>
    </cacheField>
    <cacheField name="Customer_ID" numFmtId="0">
      <sharedItems/>
    </cacheField>
    <cacheField name="First_Name" numFmtId="0">
      <sharedItems/>
    </cacheField>
    <cacheField name="Last_Name" numFmtId="0">
      <sharedItems/>
    </cacheField>
    <cacheField name="City" numFmtId="0">
      <sharedItems/>
    </cacheField>
    <cacheField name="Region" numFmtId="0">
      <sharedItems count="4">
        <s v="North"/>
        <s v="East"/>
        <s v="West"/>
        <s v="South"/>
      </sharedItems>
    </cacheField>
    <cacheField name="Product" numFmtId="0">
      <sharedItems count="7">
        <s v="Headphones"/>
        <s v="Tablet"/>
        <s v="Mobile"/>
        <s v="Smartwatch"/>
        <s v="Laptop"/>
        <s v="Printer"/>
        <s v="Camera"/>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522" maxValue="79805"/>
    </cacheField>
    <cacheField name="Total_Sales" numFmtId="0">
      <sharedItems containsSemiMixedTypes="0" containsString="0" containsNumber="1" containsInteger="1" minValue="1566" maxValue="393505"/>
    </cacheField>
    <cacheField name="Payment_Method" numFmtId="0">
      <sharedItems count="5">
        <s v="Cash"/>
        <s v="Net Banking"/>
        <s v="Debit Card"/>
        <s v="Credit Card"/>
        <s v="UPI"/>
      </sharedItems>
    </cacheField>
    <cacheField name="Order_Status" numFmtId="0">
      <sharedItems count="3">
        <s v="Completed"/>
        <s v="Cancelled"/>
        <s v="Returned"/>
      </sharedItems>
    </cacheField>
    <cacheField name="Month" numFmtId="0">
      <sharedItems count="12">
        <s v="Sep"/>
        <s v="May"/>
        <s v="Feb"/>
        <s v="Apr"/>
        <s v="Aug"/>
        <s v="Jan"/>
        <s v="Dec"/>
        <s v="Oct"/>
        <s v="Jul"/>
        <s v="Mar"/>
        <s v="Jun"/>
        <s v="Nov"/>
      </sharedItems>
    </cacheField>
    <cacheField name="Year" numFmtId="0">
      <sharedItems/>
    </cacheField>
    <cacheField name="Customer_Name" numFmtId="0">
      <sharedItems count="496">
        <s v="Bryan Ruiz"/>
        <s v="Darren Hernandez"/>
        <s v="Jennifer Ray"/>
        <s v="Angel Nichols"/>
        <s v="Eric Peterson"/>
        <s v="Seth Miller"/>
        <s v="Jason Ramirez"/>
        <s v="Angela Hall"/>
        <s v="Raymond Evans"/>
        <s v="Mark Taylor"/>
        <s v="Ashley Jimenez"/>
        <s v="Amy Arnold"/>
        <s v="Ashley Murray"/>
        <s v="Erik Kelly"/>
        <s v="Roger Gutierrez"/>
        <s v="Ronald Chavez"/>
        <s v="Paula Turner"/>
        <s v="Timothy Davis"/>
        <s v="Virginia Phillips"/>
        <s v="Paul Smith"/>
        <s v="Adam Moore"/>
        <s v="Larry Myers"/>
        <s v="Lisa Hawkins"/>
        <s v="Michael Ellison"/>
        <s v="Craig Cummings"/>
        <s v="Michael Velasquez"/>
        <s v="Teresa Robinson"/>
        <s v="April Morgan"/>
        <s v="Nicholas Coleman"/>
        <s v="Gabriel Serrano"/>
        <s v="William Collins"/>
        <s v="Julian Jenkins"/>
        <s v="Ralph Moore"/>
        <s v="Stacey Ball"/>
        <s v="Julia Evans"/>
        <s v="Dustin Wright"/>
        <s v="Tiffany Farmer"/>
        <s v="Cody Parker MD"/>
        <s v="Andres Morris"/>
        <s v="Julie Anderson"/>
        <s v="Elijah Terrell"/>
        <s v="Mike Miller"/>
        <s v="Tiffany Walker"/>
        <s v="Ricky Simpson"/>
        <s v="Katherine Melendez"/>
        <s v="Kimberly Snow"/>
        <s v="Mark Newman"/>
        <s v="Alexis Carroll"/>
        <s v="Megan Hernandez"/>
        <s v="Robert Anderson"/>
        <s v="Mark Jackson"/>
        <s v="Nicole Thomas"/>
        <s v="Angela Fox"/>
        <s v="Catherine Levine"/>
        <s v="Robert Kelly"/>
        <s v="Crystal Smith"/>
        <s v="Ronald Sims"/>
        <s v="Christopher Walker"/>
        <s v="Tracy Bauer"/>
        <s v="Craig Michael"/>
        <s v="Anthony Garner"/>
        <s v="Mandy Davidson"/>
        <s v="Jacob Moore"/>
        <s v="William Phillips"/>
        <s v="Marissa Smith"/>
        <s v="Kenneth Sanchez"/>
        <s v="Diane Haynes"/>
        <s v="Kirk Carr"/>
        <s v="Julia Thomas"/>
        <s v="Beth Newton"/>
        <s v="Richard Davis"/>
        <s v="Randall Joseph"/>
        <s v="Mark Thompson"/>
        <s v="Kimberly Martinez"/>
        <s v="Brian Salinas"/>
        <s v="Melissa Ortiz"/>
        <s v="Robert Lewis"/>
        <s v="Keith Boone"/>
        <s v="Christy Hernandez"/>
        <s v="Scott Welch"/>
        <s v="Mandy Cortez"/>
        <s v="Sandra Noble"/>
        <s v="Collin Garcia"/>
        <s v="Michael Robles"/>
        <s v="Philip Chandler"/>
        <s v="Mr. Cody Stewart"/>
        <s v="Luis Conley"/>
        <s v="Brandon Coleman"/>
        <s v="Jennifer Ford"/>
        <s v="Leonard Andrews"/>
        <s v="Mark Jones"/>
        <s v="Dalton Anderson"/>
        <s v="Erik Osborn"/>
        <s v="Victoria Andrews"/>
        <s v="Timothy Cook"/>
        <s v="Angela Price"/>
        <s v="Kyle Campbell"/>
        <s v="Jason Dillon"/>
        <s v="Justin Bryant"/>
        <s v="David Johnson"/>
        <s v="Ryan Hickman Jr."/>
        <s v="Marilyn Riley"/>
        <s v="Bruce Payne"/>
        <s v="Tina Ross"/>
        <s v="Wendy Medina"/>
        <s v="Anthony Rodriguez"/>
        <s v="Kevin Bell"/>
        <s v="Cheryl Curry"/>
        <s v="Chelsea Vega"/>
        <s v="Timothy Chavez"/>
        <s v="Terry Williams"/>
        <s v="Joseph White"/>
        <s v="James Wilson"/>
        <s v="Alexandra Lam"/>
        <s v="Mrs. Brianna Richard"/>
        <s v="Mary Sweeney"/>
        <s v="Brian Allen"/>
        <s v="Christopher Bowman"/>
        <s v="Corey Sanders"/>
        <s v="Robert Lyons"/>
        <s v="Sarah Vance"/>
        <s v="Mrs. Amanda Hubbard"/>
        <s v="Ronald Torres"/>
        <s v="Pam Cooper"/>
        <s v="Jacob Romero"/>
        <s v="Richard Murray"/>
        <s v="Joshua Neal"/>
        <s v="Matthew Adkins"/>
        <s v="Julie Keller"/>
        <s v="Patrick Collier"/>
        <s v="Dr. Angela Horton"/>
        <s v="Samantha Rivera"/>
        <s v="Chelsea Kidd"/>
        <s v="Jennifer Stevenson"/>
        <s v="Andrew Johnson"/>
        <s v="Roy Barajas"/>
        <s v="Robin Ramos"/>
        <s v="Alejandro Webb"/>
        <s v="Kayla Mills"/>
        <s v="Brittany Mercado"/>
        <s v="Chelsea Boone"/>
        <s v="Tim Miller"/>
        <s v="Mary Ford"/>
        <s v="Kaylee Fisher"/>
        <s v="Elijah Garza"/>
        <s v="William Mosley"/>
        <s v="Jessica Mullins"/>
        <s v="Michael Riley"/>
        <s v="Jared Hogan"/>
        <s v="Michelle Lester"/>
        <s v="Mark Dixon"/>
        <s v="Michael Underwood"/>
        <s v="Kathryn Orozco"/>
        <s v="Douglas Powers"/>
        <s v="Linda Tate"/>
        <s v="Stacy Barrett"/>
        <s v="Gary Keller"/>
        <s v="Jodi Smith"/>
        <s v="Stephanie Oliver"/>
        <s v="Daniel Jones"/>
        <s v="Mary Bond"/>
        <s v="Kimberly Odom"/>
        <s v="Susan Santos"/>
        <s v="Seth Cardenas"/>
        <s v="Desiree Murray"/>
        <s v="Elizabeth Ortiz"/>
        <s v="Natalie Park"/>
        <s v="Julie Whitney"/>
        <s v="Christopher Valenzuela"/>
        <s v="Veronica Wise"/>
        <s v="Lauren Martinez"/>
        <s v="Anna Wilson"/>
        <s v="Gregg Perez"/>
        <s v="Peter Miller"/>
        <s v="Lauren Brennan"/>
        <s v="David Anderson"/>
        <s v="Kathy Martinez"/>
        <s v="Christopher Garcia"/>
        <s v="Nicole Harris"/>
        <s v="Gregory Garcia"/>
        <s v="Nina Everett"/>
        <s v="Jason Roberts"/>
        <s v="Cindy Murray"/>
        <s v="Kevin Whitaker"/>
        <s v="Keith Mason"/>
        <s v="Emily Adams"/>
        <s v="Steven Olsen"/>
        <s v="John Allison"/>
        <s v="Andrea Martinez"/>
        <s v="James Burton"/>
        <s v="Katrina Allison"/>
        <s v="Jennifer Cook"/>
        <s v="Dawn Cox"/>
        <s v="Lori Kirby"/>
        <s v="Elizabeth Summers"/>
        <s v="Mark Peterson"/>
        <s v="Jonathan Cole"/>
        <s v="Nicole Smith"/>
        <s v="Randy Wagner"/>
        <s v="Patricia Flores"/>
        <s v="Christopher Morales"/>
        <s v="Andrew Miller"/>
        <s v="Dennis Bird"/>
        <s v="Janet Cooper"/>
        <s v="Scott Petersen"/>
        <s v="Joshua Kennedy"/>
        <s v="Mark Hardin"/>
        <s v="Katie Brown"/>
        <s v="Jose Watkins DVM"/>
        <s v="David Harrison"/>
        <s v="Brian Wang"/>
        <s v="Megan Johnson"/>
        <s v="William Ferguson"/>
        <s v="Travis Prince MD"/>
        <s v="Eric Lowe"/>
        <s v="Rebecca Gibson"/>
        <s v="Kelsey Allen"/>
        <s v="Stacy Donaldson"/>
        <s v="Laura Allison"/>
        <s v="Pamela Hughes"/>
        <s v="Kimberly Velez"/>
        <s v="William Nichols"/>
        <s v="Robert Ray"/>
        <s v="Lori Davis"/>
        <s v="Dr. Michele Roberts DDS"/>
        <s v="Angel Thomas"/>
        <s v="Justin Webb"/>
        <s v="Linda Garcia"/>
        <s v="Megan Fuller"/>
        <s v="Mrs. Diane Thomas"/>
        <s v="Brian Martinez"/>
        <s v="Cheryl Hill"/>
        <s v="Betty Evans"/>
        <s v="John Brown PhD"/>
        <s v="Leslie Berger"/>
        <s v="Brandy Singh"/>
        <s v="Jennifer Dickson"/>
        <s v="Drew Singleton"/>
        <s v="Brandon Combs"/>
        <s v="Jennifer Gomez"/>
        <s v="Katelyn Miles"/>
        <s v="Nathan Wang"/>
        <s v="Chad Smith"/>
        <s v="Christine Harvey"/>
        <s v="Brian Davis"/>
        <s v="Maria Jacobs"/>
        <s v="Abigail Hunter"/>
        <s v="Aaron Bird"/>
        <s v="Eric Quinn"/>
        <s v="Donna Gomez"/>
        <s v="Heather Powell"/>
        <s v="Richard Young"/>
        <s v="Lauren Rosales"/>
        <s v="Michelle Smith"/>
        <s v="Peter Lloyd"/>
        <s v="Robert Nelson"/>
        <s v="Tara Huynh"/>
        <s v="Teresa Schwartz"/>
        <s v="Andrew Rodriguez"/>
        <s v="Shannon Powell"/>
        <s v="Shannon Smith"/>
        <s v="Kevin Brown"/>
        <s v="Brian Patterson"/>
        <s v="Crystal Mcdonald"/>
        <s v="Shelley Gutierrez"/>
        <s v="Leroy Yu"/>
        <s v="Tara Nelson"/>
        <s v="Lisa Cruz"/>
        <s v="Mary Burns"/>
        <s v="Andrew Peters"/>
        <s v="Elizabeth Jordan"/>
        <s v="Deborah Matthews"/>
        <s v="Christy Smith"/>
        <s v="John Owens"/>
        <s v="Timothy Cooke"/>
        <s v="George Mosley"/>
        <s v="Keith Buck"/>
        <s v="Kristin Whitaker"/>
        <s v="James Reyes"/>
        <s v="Cody Reid"/>
        <s v="Tammie Yu"/>
        <s v="Ryan Payne"/>
        <s v="Joshua Cook"/>
        <s v="Lorraine Small"/>
        <s v="Alyssa Wiggins"/>
        <s v="Michele Wood"/>
        <s v="Shawn Vazquez"/>
        <s v="Brandon Wood"/>
        <s v="Gabriel Pierce"/>
        <s v="Thomas Mendez"/>
        <s v="Leroy Williams"/>
        <s v="Charles Leonard"/>
        <s v="Jason Woods"/>
        <s v="Robert Thomas"/>
        <s v="Michael Baker"/>
        <s v="Cole Walker"/>
        <s v="Dr. Carl Davis MD"/>
        <s v="Alan Underwood"/>
        <s v="Sarah Simpson"/>
        <s v="Brian Johnson"/>
        <s v="Julie Lane"/>
        <s v="Jamie Garcia"/>
        <s v="Stephen Torres"/>
        <s v="Jordan Wilson"/>
        <s v="Natalie Smith"/>
        <s v="Kayla Escobar"/>
        <s v="Annette Johnson"/>
        <s v="Angela Miller"/>
        <s v="Elizabeth Rosales"/>
        <s v="Kevin Ingram"/>
        <s v="Eric Kent"/>
        <s v="Tammy Cole"/>
        <s v="Jacqueline Cline"/>
        <s v="Shannon Bryan"/>
        <s v="Harold Hess"/>
        <s v="Yolanda Clark"/>
        <s v="Stephen Stanley"/>
        <s v="Jessica Camacho"/>
        <s v="Joseph Thomas"/>
        <s v="Caitlin Johnston"/>
        <s v="Erika Tate"/>
        <s v="Andrew Thompson"/>
        <s v="James Francis"/>
        <s v="Bradley Rasmussen DVM"/>
        <s v="Lauren Bryant"/>
        <s v="Steven Rogers"/>
        <s v="Victor Phillips"/>
        <s v="Dana Wise"/>
        <s v="Barbara Flynn"/>
        <s v="Brittany Nelson"/>
        <s v="Edward Simon"/>
        <s v="Laurie Montgomery"/>
        <s v="Tonya Mayer"/>
        <s v="Katherine Farmer"/>
        <s v="Marissa Patterson"/>
        <s v="Miranda Adams"/>
        <s v="Susan Moreno"/>
        <s v="Angela Martinez"/>
        <s v="Deborah Morris"/>
        <s v="Jeffrey Perez"/>
        <s v="Amy Austin"/>
        <s v="Jill Orr"/>
        <s v="Casey Massey"/>
        <s v="David Ashley"/>
        <s v="Jeremy Brown"/>
        <s v="Anna Lopez"/>
        <s v="Yolanda Grant"/>
        <s v="Robert Bird"/>
        <s v="Jacqueline Clark"/>
        <s v="Sarah Livingston"/>
        <s v="Denise Kim"/>
        <s v="Gina Rasmussen"/>
        <s v="Carolyn Perez"/>
        <s v="Angela James"/>
        <s v="Thomas Gallegos Jr."/>
        <s v="Alexandria Baker"/>
        <s v="Christopher Mora"/>
        <s v="Emily Harding"/>
        <s v="Megan Alexander"/>
        <s v="Anita Crawford"/>
        <s v="Stephanie Ford"/>
        <s v="Rachel Sanchez"/>
        <s v="David Evans"/>
        <s v="Angela Fields"/>
        <s v="Connor Nguyen"/>
        <s v="Melinda Richardson"/>
        <s v="Daniel Hughes"/>
        <s v="Thomas Wilkinson"/>
        <s v="Ryan Soto"/>
        <s v="Curtis Callahan"/>
        <s v="Lisa Keller"/>
        <s v="Chelsea Bender"/>
        <s v="Melissa Dillon"/>
        <s v="Emily Davis"/>
        <s v="Amy Peters"/>
        <s v="Antonio Long"/>
        <s v="Samantha Garcia"/>
        <s v="Tiffany Morgan"/>
        <s v="Eduardo Williams"/>
        <s v="Harold Murphy"/>
        <s v="Lauren Boyd"/>
        <s v="Thomas Patrick"/>
        <s v="Amanda Mcintosh"/>
        <s v="Jeanette Bond"/>
        <s v="Terri Hunt"/>
        <s v="Samuel Lopez"/>
        <s v="David Barrett"/>
        <s v="Sandra Smith"/>
        <s v="Angela Davis"/>
        <s v="Aaron Stevens"/>
        <s v="Devin Williams"/>
        <s v="Jennifer Walker"/>
        <s v="Ashley Gill"/>
        <s v="Christopher Johnson"/>
        <s v="Melissa Lopez"/>
        <s v="Connor Moran"/>
        <s v="Julia Khan"/>
        <s v="Sherri Adams"/>
        <s v="Juan Becker"/>
        <s v="Cassandra Harris"/>
        <s v="Jason Ramos"/>
        <s v="Leslie Butler"/>
        <s v="Joseph Ramos"/>
        <s v="Robert Scott"/>
        <s v="Ryan Stevens"/>
        <s v="Emily Juarez"/>
        <s v="Jessica Gregory"/>
        <s v="Charles Reeves"/>
        <s v="Donna Vega"/>
        <s v="Lisa Heath"/>
        <s v="Wendy Rosario MD"/>
        <s v="Jeremy Boyd"/>
        <s v="Megan Foster"/>
        <s v="Brian Spencer"/>
        <s v="Brenda Gibson"/>
        <s v="Holly Harvey"/>
        <s v="Brandon Valenzuela"/>
        <s v="Jordan Miller"/>
        <s v="Jason Stanley"/>
        <s v="Laura Romero"/>
        <s v="Nancy Perez"/>
        <s v="Jasmine Sutton"/>
        <s v="Carrie Clark"/>
        <s v="Timothy Sanchez"/>
        <s v="Amy Barnes"/>
        <s v="Jonathan Martinez"/>
        <s v="Joseph Li"/>
        <s v="Michelle Lewis"/>
        <s v="Brittany Valencia"/>
        <s v="Mark Cabrera"/>
        <s v="Jacob Williams"/>
        <s v="Joe Curtis"/>
        <s v="Hannah Sweeney"/>
        <s v="Laurie Young"/>
        <s v="James Parker"/>
        <s v="Mary Schmidt"/>
        <s v="Dawn Anderson"/>
        <s v="Robert Garcia"/>
        <s v="Elizabeth Smith"/>
        <s v="Thomas Hurley"/>
        <s v="Douglas Turner"/>
        <s v="Alicia Silva"/>
        <s v="Samantha Calhoun"/>
        <s v="Jason Chapman"/>
        <s v="Steven Lyons"/>
        <s v="Kathy Mccoy"/>
        <s v="Michele Carter"/>
        <s v="Erica Brown"/>
        <s v="Adam Stevenson"/>
        <s v="Christopher Schroeder"/>
        <s v="Anna Morgan"/>
        <s v="Katherine King"/>
        <s v="Robert Wallace"/>
        <s v="Nancy Estrada"/>
        <s v="Stephen Browning"/>
        <s v="Joel Young"/>
        <s v="Dana Cuevas"/>
        <s v="Malik Williams"/>
        <s v="Christine Cross"/>
        <s v="Hannah Flores"/>
        <s v="Kimberly Carson"/>
        <s v="Janet Weber"/>
        <s v="Jacob Wilson"/>
        <s v="Thomas Oconnor"/>
        <s v="Ronnie Rodriguez"/>
        <s v="Matthew Jones MD"/>
        <s v="Julie White"/>
        <s v="Andrea Kennedy"/>
        <s v="Dakota Hudson"/>
        <s v="Amy Peterson"/>
        <s v="Alicia Warner DVM"/>
        <s v="Ricky Cain"/>
        <s v="Miss Laura Ross MD"/>
        <s v="Rebecca Reynolds"/>
        <s v="Danielle Case"/>
        <s v="James Decker"/>
        <s v="Michelle Green"/>
        <s v="Kristopher Nelson"/>
        <s v="Christina Jones"/>
        <s v="Brittany Hernandez"/>
        <s v="Eric Flores"/>
        <s v="John Swanson"/>
        <s v="Sheila Rodriguez"/>
        <s v="Heather Mercado"/>
        <s v="Richard Jensen"/>
        <s v="Ryan Taylor"/>
        <s v="Cynthia Huff DDS"/>
        <s v="Suzanne Johnson"/>
        <s v="Raymond Moore"/>
        <s v="James Pineda"/>
        <s v="Krystal Farrell"/>
        <s v="Robert Mcgee"/>
        <s v="Martin Potts"/>
        <s v="Valerie Lawson"/>
        <s v="Brenda Duncan"/>
        <s v="Dr. Anthony Reyes DVM"/>
      </sharedItems>
    </cacheField>
  </cacheFields>
  <extLst>
    <ext xmlns:x14="http://schemas.microsoft.com/office/spreadsheetml/2009/9/main" uri="{725AE2AE-9491-48be-B2B4-4EB974FC3084}">
      <x14:pivotCacheDefinition pivotCacheId="632928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
    <d v="2025-09-12T00:00:00"/>
    <s v="CUST473"/>
    <s v="Bryan"/>
    <s v="Ruiz"/>
    <s v="Leeburgh"/>
    <x v="0"/>
    <x v="0"/>
    <s v="Electronics"/>
    <n v="4"/>
    <n v="16836"/>
    <n v="67344"/>
    <x v="0"/>
    <x v="0"/>
    <x v="0"/>
    <s v="2025"/>
    <x v="0"/>
  </r>
  <r>
    <s v="ORD1001"/>
    <d v="2025-05-22T00:00:00"/>
    <s v="CUST189"/>
    <s v="Darren"/>
    <s v="Hernandez"/>
    <s v="South Tiffany"/>
    <x v="1"/>
    <x v="1"/>
    <s v="Electronics"/>
    <n v="5"/>
    <n v="53776"/>
    <n v="268880"/>
    <x v="0"/>
    <x v="1"/>
    <x v="1"/>
    <s v="2025"/>
    <x v="1"/>
  </r>
  <r>
    <s v="ORD1002"/>
    <d v="2026-02-16T00:00:00"/>
    <s v="CUST142"/>
    <s v="Jennifer"/>
    <s v="Ray"/>
    <s v="Lake Deborah"/>
    <x v="1"/>
    <x v="2"/>
    <s v="Electronics"/>
    <n v="5"/>
    <n v="1250"/>
    <n v="6250"/>
    <x v="1"/>
    <x v="0"/>
    <x v="2"/>
    <s v="2026"/>
    <x v="2"/>
  </r>
  <r>
    <s v="ORD1003"/>
    <d v="2026-04-17T00:00:00"/>
    <s v="CUST603"/>
    <s v="Angel"/>
    <s v="Nichols"/>
    <s v="Youngton"/>
    <x v="2"/>
    <x v="3"/>
    <s v="Electronics"/>
    <n v="3"/>
    <n v="6092"/>
    <n v="18276"/>
    <x v="0"/>
    <x v="2"/>
    <x v="3"/>
    <s v="2026"/>
    <x v="3"/>
  </r>
  <r>
    <s v="ORD1004"/>
    <d v="2025-08-20T00:00:00"/>
    <s v="CUST832"/>
    <s v="Eric"/>
    <s v="Peterson"/>
    <s v="Lake Danielberg"/>
    <x v="2"/>
    <x v="1"/>
    <s v="Electronics"/>
    <n v="3"/>
    <n v="9128"/>
    <n v="27384"/>
    <x v="0"/>
    <x v="1"/>
    <x v="4"/>
    <s v="2025"/>
    <x v="4"/>
  </r>
  <r>
    <s v="ORD1005"/>
    <d v="2026-01-12T00:00:00"/>
    <s v="CUST870"/>
    <s v="Seth"/>
    <s v="Miller"/>
    <s v="Murphychester"/>
    <x v="0"/>
    <x v="3"/>
    <s v="Electronics"/>
    <n v="4"/>
    <n v="34348"/>
    <n v="137392"/>
    <x v="1"/>
    <x v="2"/>
    <x v="5"/>
    <s v="2026"/>
    <x v="5"/>
  </r>
  <r>
    <s v="ORD1006"/>
    <d v="2026-01-10T00:00:00"/>
    <s v="CUST223"/>
    <s v="Jason"/>
    <s v="Ramirez"/>
    <s v="Blanchardstad"/>
    <x v="0"/>
    <x v="4"/>
    <s v="Electronics"/>
    <n v="1"/>
    <n v="45419"/>
    <n v="45419"/>
    <x v="2"/>
    <x v="0"/>
    <x v="5"/>
    <s v="2026"/>
    <x v="6"/>
  </r>
  <r>
    <s v="ORD1007"/>
    <d v="2025-12-21T00:00:00"/>
    <s v="CUST961"/>
    <s v="Angela"/>
    <s v="Hall"/>
    <s v="Ricestad"/>
    <x v="1"/>
    <x v="4"/>
    <s v="Electronics"/>
    <n v="3"/>
    <n v="49940"/>
    <n v="149820"/>
    <x v="0"/>
    <x v="0"/>
    <x v="6"/>
    <s v="2025"/>
    <x v="7"/>
  </r>
  <r>
    <s v="ORD1008"/>
    <d v="2025-10-31T00:00:00"/>
    <s v="CUST149"/>
    <s v="Raymond"/>
    <s v="Evans"/>
    <s v="South Loriside"/>
    <x v="2"/>
    <x v="1"/>
    <s v="Electronics"/>
    <n v="4"/>
    <n v="60298"/>
    <n v="241192"/>
    <x v="3"/>
    <x v="0"/>
    <x v="7"/>
    <s v="2025"/>
    <x v="8"/>
  </r>
  <r>
    <s v="ORD1009"/>
    <d v="2025-07-27T00:00:00"/>
    <s v="CUST486"/>
    <s v="Mark"/>
    <s v="Taylor"/>
    <s v="Garymouth"/>
    <x v="0"/>
    <x v="5"/>
    <s v="Electronics"/>
    <n v="3"/>
    <n v="1990"/>
    <n v="5970"/>
    <x v="1"/>
    <x v="2"/>
    <x v="8"/>
    <s v="2025"/>
    <x v="9"/>
  </r>
  <r>
    <s v="ORD1010"/>
    <d v="2026-03-05T00:00:00"/>
    <s v="CUST831"/>
    <s v="Ashley"/>
    <s v="Jimenez"/>
    <s v="East Timothy"/>
    <x v="2"/>
    <x v="5"/>
    <s v="Electronics"/>
    <n v="1"/>
    <n v="15047"/>
    <n v="15047"/>
    <x v="4"/>
    <x v="2"/>
    <x v="9"/>
    <s v="2026"/>
    <x v="10"/>
  </r>
  <r>
    <s v="ORD1011"/>
    <d v="2026-01-22T00:00:00"/>
    <s v="CUST311"/>
    <s v="Amy"/>
    <s v="Arnold"/>
    <s v="South Jennifer"/>
    <x v="1"/>
    <x v="6"/>
    <s v="Electronics"/>
    <n v="3"/>
    <n v="58547"/>
    <n v="175641"/>
    <x v="3"/>
    <x v="1"/>
    <x v="5"/>
    <s v="2026"/>
    <x v="11"/>
  </r>
  <r>
    <s v="ORD1012"/>
    <d v="2025-08-03T00:00:00"/>
    <s v="CUST845"/>
    <s v="Ashley"/>
    <s v="Murray"/>
    <s v="Kathyview"/>
    <x v="0"/>
    <x v="6"/>
    <s v="Electronics"/>
    <n v="1"/>
    <n v="21938"/>
    <n v="21938"/>
    <x v="2"/>
    <x v="0"/>
    <x v="4"/>
    <s v="2025"/>
    <x v="12"/>
  </r>
  <r>
    <s v="ORD1013"/>
    <d v="2025-09-20T00:00:00"/>
    <s v="CUST350"/>
    <s v="Erik"/>
    <s v="Kelly"/>
    <s v="Jonesfurt"/>
    <x v="3"/>
    <x v="2"/>
    <s v="Electronics"/>
    <n v="1"/>
    <n v="39840"/>
    <n v="39840"/>
    <x v="4"/>
    <x v="1"/>
    <x v="0"/>
    <s v="2025"/>
    <x v="13"/>
  </r>
  <r>
    <s v="ORD1014"/>
    <d v="2026-04-30T00:00:00"/>
    <s v="CUST364"/>
    <s v="Roger"/>
    <s v="Gutierrez"/>
    <s v="South Lindsay"/>
    <x v="2"/>
    <x v="6"/>
    <s v="Electronics"/>
    <n v="4"/>
    <n v="20746"/>
    <n v="82984"/>
    <x v="2"/>
    <x v="2"/>
    <x v="3"/>
    <s v="2026"/>
    <x v="14"/>
  </r>
  <r>
    <s v="ORD1015"/>
    <d v="2026-03-15T00:00:00"/>
    <s v="CUST353"/>
    <s v="Ronald"/>
    <s v="Chavez"/>
    <s v="Salasburgh"/>
    <x v="0"/>
    <x v="3"/>
    <s v="Electronics"/>
    <n v="1"/>
    <n v="16325"/>
    <n v="16325"/>
    <x v="2"/>
    <x v="1"/>
    <x v="9"/>
    <s v="2026"/>
    <x v="15"/>
  </r>
  <r>
    <s v="ORD1016"/>
    <d v="2025-12-14T00:00:00"/>
    <s v="CUST585"/>
    <s v="Paula"/>
    <s v="Turner"/>
    <s v="New Karenhaven"/>
    <x v="3"/>
    <x v="6"/>
    <s v="Electronics"/>
    <n v="1"/>
    <n v="70934"/>
    <n v="70934"/>
    <x v="3"/>
    <x v="2"/>
    <x v="6"/>
    <s v="2025"/>
    <x v="16"/>
  </r>
  <r>
    <s v="ORD1017"/>
    <d v="2026-02-21T00:00:00"/>
    <s v="CUST247"/>
    <s v="Timothy"/>
    <s v="Davis"/>
    <s v="New Dylanfurt"/>
    <x v="2"/>
    <x v="6"/>
    <s v="Electronics"/>
    <n v="1"/>
    <n v="53118"/>
    <n v="53118"/>
    <x v="0"/>
    <x v="2"/>
    <x v="2"/>
    <s v="2026"/>
    <x v="17"/>
  </r>
  <r>
    <s v="ORD1018"/>
    <d v="2026-02-02T00:00:00"/>
    <s v="CUST600"/>
    <s v="Virginia"/>
    <s v="Phillips"/>
    <s v="North Holly"/>
    <x v="2"/>
    <x v="5"/>
    <s v="Electronics"/>
    <n v="1"/>
    <n v="38090"/>
    <n v="38090"/>
    <x v="0"/>
    <x v="0"/>
    <x v="2"/>
    <s v="2026"/>
    <x v="18"/>
  </r>
  <r>
    <s v="ORD1019"/>
    <d v="2026-04-13T00:00:00"/>
    <s v="CUST926"/>
    <s v="Paul"/>
    <s v="Smith"/>
    <s v="Port Brandonport"/>
    <x v="3"/>
    <x v="3"/>
    <s v="Electronics"/>
    <n v="4"/>
    <n v="13692"/>
    <n v="54768"/>
    <x v="0"/>
    <x v="2"/>
    <x v="3"/>
    <s v="2026"/>
    <x v="19"/>
  </r>
  <r>
    <s v="ORD1020"/>
    <d v="2025-08-29T00:00:00"/>
    <s v="CUST609"/>
    <s v="Adam"/>
    <s v="Moore"/>
    <s v="Smithville"/>
    <x v="3"/>
    <x v="6"/>
    <s v="Electronics"/>
    <n v="3"/>
    <n v="30486"/>
    <n v="91458"/>
    <x v="4"/>
    <x v="0"/>
    <x v="4"/>
    <s v="2025"/>
    <x v="20"/>
  </r>
  <r>
    <s v="ORD1021"/>
    <d v="2025-10-30T00:00:00"/>
    <s v="CUST239"/>
    <s v="Larry"/>
    <s v="Myers"/>
    <s v="Port Jimmy"/>
    <x v="0"/>
    <x v="4"/>
    <s v="Electronics"/>
    <n v="1"/>
    <n v="72570"/>
    <n v="72570"/>
    <x v="1"/>
    <x v="2"/>
    <x v="7"/>
    <s v="2025"/>
    <x v="21"/>
  </r>
  <r>
    <s v="ORD1022"/>
    <d v="2025-08-02T00:00:00"/>
    <s v="CUST462"/>
    <s v="Lisa"/>
    <s v="Hawkins"/>
    <s v="East Sarah"/>
    <x v="0"/>
    <x v="3"/>
    <s v="Electronics"/>
    <n v="4"/>
    <n v="20027"/>
    <n v="80108"/>
    <x v="2"/>
    <x v="0"/>
    <x v="4"/>
    <s v="2025"/>
    <x v="22"/>
  </r>
  <r>
    <s v="ORD1023"/>
    <d v="2026-02-08T00:00:00"/>
    <s v="CUST551"/>
    <s v="Michael"/>
    <s v="Ellison"/>
    <s v="Shaunbury"/>
    <x v="0"/>
    <x v="5"/>
    <s v="Electronics"/>
    <n v="4"/>
    <n v="26242"/>
    <n v="104968"/>
    <x v="3"/>
    <x v="1"/>
    <x v="2"/>
    <s v="2026"/>
    <x v="23"/>
  </r>
  <r>
    <s v="ORD1024"/>
    <d v="2025-07-09T00:00:00"/>
    <s v="CUST519"/>
    <s v="Craig"/>
    <s v="Cummings"/>
    <s v="Estradaview"/>
    <x v="3"/>
    <x v="1"/>
    <s v="Electronics"/>
    <n v="2"/>
    <n v="34513"/>
    <n v="69026"/>
    <x v="0"/>
    <x v="0"/>
    <x v="8"/>
    <s v="2025"/>
    <x v="24"/>
  </r>
  <r>
    <s v="ORD1025"/>
    <d v="2025-08-25T00:00:00"/>
    <s v="CUST500"/>
    <s v="Michael"/>
    <s v="Velasquez"/>
    <s v="North Victoriafurt"/>
    <x v="2"/>
    <x v="4"/>
    <s v="Electronics"/>
    <n v="5"/>
    <n v="11331"/>
    <n v="56655"/>
    <x v="1"/>
    <x v="0"/>
    <x v="4"/>
    <s v="2025"/>
    <x v="25"/>
  </r>
  <r>
    <s v="ORD1026"/>
    <d v="2026-04-15T00:00:00"/>
    <s v="CUST435"/>
    <s v="Teresa"/>
    <s v="Robinson"/>
    <s v="Martinezstad"/>
    <x v="2"/>
    <x v="1"/>
    <s v="Electronics"/>
    <n v="2"/>
    <n v="3023"/>
    <n v="6046"/>
    <x v="3"/>
    <x v="1"/>
    <x v="3"/>
    <s v="2026"/>
    <x v="26"/>
  </r>
  <r>
    <s v="ORD1027"/>
    <d v="2025-07-20T00:00:00"/>
    <s v="CUST834"/>
    <s v="April"/>
    <s v="Morgan"/>
    <s v="Huntfort"/>
    <x v="3"/>
    <x v="5"/>
    <s v="Electronics"/>
    <n v="2"/>
    <n v="52616"/>
    <n v="105232"/>
    <x v="1"/>
    <x v="2"/>
    <x v="8"/>
    <s v="2025"/>
    <x v="27"/>
  </r>
  <r>
    <s v="ORD1028"/>
    <d v="2026-01-24T00:00:00"/>
    <s v="CUST281"/>
    <s v="Nicholas"/>
    <s v="Coleman"/>
    <s v="Wilsonfort"/>
    <x v="0"/>
    <x v="0"/>
    <s v="Electronics"/>
    <n v="2"/>
    <n v="79266"/>
    <n v="158532"/>
    <x v="2"/>
    <x v="0"/>
    <x v="5"/>
    <s v="2026"/>
    <x v="28"/>
  </r>
  <r>
    <s v="ORD1029"/>
    <d v="2026-04-18T00:00:00"/>
    <s v="CUST318"/>
    <s v="Gabriel"/>
    <s v="Serrano"/>
    <s v="Johnhaven"/>
    <x v="0"/>
    <x v="1"/>
    <s v="Electronics"/>
    <n v="2"/>
    <n v="76433"/>
    <n v="152866"/>
    <x v="0"/>
    <x v="0"/>
    <x v="3"/>
    <s v="2026"/>
    <x v="29"/>
  </r>
  <r>
    <s v="ORD1030"/>
    <d v="2025-10-07T00:00:00"/>
    <s v="CUST738"/>
    <s v="William"/>
    <s v="Collins"/>
    <s v="South Cynthia"/>
    <x v="0"/>
    <x v="4"/>
    <s v="Electronics"/>
    <n v="3"/>
    <n v="31981"/>
    <n v="95943"/>
    <x v="1"/>
    <x v="2"/>
    <x v="7"/>
    <s v="2025"/>
    <x v="30"/>
  </r>
  <r>
    <s v="ORD1031"/>
    <d v="2026-02-24T00:00:00"/>
    <s v="CUST538"/>
    <s v="Julian"/>
    <s v="Jenkins"/>
    <s v="Johnsonstad"/>
    <x v="0"/>
    <x v="2"/>
    <s v="Electronics"/>
    <n v="4"/>
    <n v="46311"/>
    <n v="185244"/>
    <x v="2"/>
    <x v="0"/>
    <x v="2"/>
    <s v="2026"/>
    <x v="31"/>
  </r>
  <r>
    <s v="ORD1032"/>
    <d v="2025-05-13T00:00:00"/>
    <s v="CUST541"/>
    <s v="Ralph"/>
    <s v="Moore"/>
    <s v="Lake Christopher"/>
    <x v="0"/>
    <x v="0"/>
    <s v="Electronics"/>
    <n v="4"/>
    <n v="29544"/>
    <n v="118176"/>
    <x v="4"/>
    <x v="1"/>
    <x v="1"/>
    <s v="2025"/>
    <x v="32"/>
  </r>
  <r>
    <s v="ORD1033"/>
    <d v="2026-01-11T00:00:00"/>
    <s v="CUST975"/>
    <s v="Stacey"/>
    <s v="Ball"/>
    <s v="Joelville"/>
    <x v="3"/>
    <x v="0"/>
    <s v="Electronics"/>
    <n v="1"/>
    <n v="15358"/>
    <n v="15358"/>
    <x v="1"/>
    <x v="0"/>
    <x v="5"/>
    <s v="2026"/>
    <x v="33"/>
  </r>
  <r>
    <s v="ORD1034"/>
    <d v="2025-06-13T00:00:00"/>
    <s v="CUST507"/>
    <s v="Julia"/>
    <s v="Evans"/>
    <s v="Sancheztown"/>
    <x v="3"/>
    <x v="3"/>
    <s v="Electronics"/>
    <n v="1"/>
    <n v="20083"/>
    <n v="20083"/>
    <x v="4"/>
    <x v="2"/>
    <x v="10"/>
    <s v="2025"/>
    <x v="34"/>
  </r>
  <r>
    <s v="ORD1035"/>
    <d v="2025-11-18T00:00:00"/>
    <s v="CUST677"/>
    <s v="Dustin"/>
    <s v="Wright"/>
    <s v="South Bretttown"/>
    <x v="2"/>
    <x v="2"/>
    <s v="Electronics"/>
    <n v="1"/>
    <n v="70555"/>
    <n v="70555"/>
    <x v="0"/>
    <x v="1"/>
    <x v="11"/>
    <s v="2025"/>
    <x v="35"/>
  </r>
  <r>
    <s v="ORD1036"/>
    <d v="2026-02-04T00:00:00"/>
    <s v="CUST218"/>
    <s v="Tiffany"/>
    <s v="Farmer"/>
    <s v="Pierceville"/>
    <x v="3"/>
    <x v="5"/>
    <s v="Electronics"/>
    <n v="4"/>
    <n v="73476"/>
    <n v="293904"/>
    <x v="2"/>
    <x v="2"/>
    <x v="2"/>
    <s v="2026"/>
    <x v="36"/>
  </r>
  <r>
    <s v="ORD1037"/>
    <d v="2025-05-17T00:00:00"/>
    <s v="CUST744"/>
    <s v="Cody Parker"/>
    <s v="MD"/>
    <s v="Robinsonborough"/>
    <x v="0"/>
    <x v="6"/>
    <s v="Electronics"/>
    <n v="5"/>
    <n v="37199"/>
    <n v="185995"/>
    <x v="2"/>
    <x v="1"/>
    <x v="1"/>
    <s v="2025"/>
    <x v="37"/>
  </r>
  <r>
    <s v="ORD1038"/>
    <d v="2026-02-21T00:00:00"/>
    <s v="CUST731"/>
    <s v="Andres"/>
    <s v="Morris"/>
    <s v="North Samuelchester"/>
    <x v="0"/>
    <x v="4"/>
    <s v="Electronics"/>
    <n v="2"/>
    <n v="37587"/>
    <n v="75174"/>
    <x v="0"/>
    <x v="0"/>
    <x v="2"/>
    <s v="2026"/>
    <x v="38"/>
  </r>
  <r>
    <s v="ORD1039"/>
    <d v="2025-07-14T00:00:00"/>
    <s v="CUST768"/>
    <s v="Julie"/>
    <s v="Anderson"/>
    <s v="South Matthewfort"/>
    <x v="1"/>
    <x v="1"/>
    <s v="Electronics"/>
    <n v="2"/>
    <n v="77762"/>
    <n v="155524"/>
    <x v="2"/>
    <x v="0"/>
    <x v="8"/>
    <s v="2025"/>
    <x v="39"/>
  </r>
  <r>
    <s v="ORD1040"/>
    <d v="2025-11-11T00:00:00"/>
    <s v="CUST707"/>
    <s v="Elijah"/>
    <s v="Terrell"/>
    <s v="New Ronaldport"/>
    <x v="1"/>
    <x v="0"/>
    <s v="Electronics"/>
    <n v="3"/>
    <n v="4507"/>
    <n v="13521"/>
    <x v="0"/>
    <x v="0"/>
    <x v="11"/>
    <s v="2025"/>
    <x v="40"/>
  </r>
  <r>
    <s v="ORD1041"/>
    <d v="2026-01-04T00:00:00"/>
    <s v="CUST264"/>
    <s v="Mike"/>
    <s v="Miller"/>
    <s v="Roberttown"/>
    <x v="0"/>
    <x v="2"/>
    <s v="Electronics"/>
    <n v="4"/>
    <n v="36371"/>
    <n v="145484"/>
    <x v="2"/>
    <x v="1"/>
    <x v="5"/>
    <s v="2026"/>
    <x v="41"/>
  </r>
  <r>
    <s v="ORD1042"/>
    <d v="2025-12-30T00:00:00"/>
    <s v="CUST125"/>
    <s v="Tiffany"/>
    <s v="Walker"/>
    <s v="East Jason"/>
    <x v="2"/>
    <x v="4"/>
    <s v="Electronics"/>
    <n v="2"/>
    <n v="65432"/>
    <n v="130864"/>
    <x v="4"/>
    <x v="2"/>
    <x v="6"/>
    <s v="2025"/>
    <x v="42"/>
  </r>
  <r>
    <s v="ORD1043"/>
    <d v="2025-07-13T00:00:00"/>
    <s v="CUST130"/>
    <s v="Ricky"/>
    <s v="Simpson"/>
    <s v="Snyderland"/>
    <x v="0"/>
    <x v="1"/>
    <s v="Electronics"/>
    <n v="5"/>
    <n v="76173"/>
    <n v="380865"/>
    <x v="1"/>
    <x v="0"/>
    <x v="8"/>
    <s v="2025"/>
    <x v="43"/>
  </r>
  <r>
    <s v="ORD1044"/>
    <d v="2025-11-13T00:00:00"/>
    <s v="CUST944"/>
    <s v="Katherine"/>
    <s v="Melendez"/>
    <s v="Friedmanview"/>
    <x v="0"/>
    <x v="1"/>
    <s v="Electronics"/>
    <n v="2"/>
    <n v="65166"/>
    <n v="130332"/>
    <x v="3"/>
    <x v="2"/>
    <x v="11"/>
    <s v="2025"/>
    <x v="44"/>
  </r>
  <r>
    <s v="ORD1045"/>
    <d v="2025-06-02T00:00:00"/>
    <s v="CUST766"/>
    <s v="Kimberly"/>
    <s v="Snow"/>
    <s v="West Jessica"/>
    <x v="0"/>
    <x v="1"/>
    <s v="Electronics"/>
    <n v="1"/>
    <n v="70146"/>
    <n v="70146"/>
    <x v="3"/>
    <x v="0"/>
    <x v="10"/>
    <s v="2025"/>
    <x v="45"/>
  </r>
  <r>
    <s v="ORD1046"/>
    <d v="2025-06-18T00:00:00"/>
    <s v="CUST282"/>
    <s v="Mark"/>
    <s v="Newman"/>
    <s v="Russellside"/>
    <x v="1"/>
    <x v="6"/>
    <s v="Electronics"/>
    <n v="4"/>
    <n v="69083"/>
    <n v="276332"/>
    <x v="2"/>
    <x v="2"/>
    <x v="10"/>
    <s v="2025"/>
    <x v="46"/>
  </r>
  <r>
    <s v="ORD1047"/>
    <d v="2026-01-09T00:00:00"/>
    <s v="CUST484"/>
    <s v="Alexis"/>
    <s v="Carroll"/>
    <s v="Petersberg"/>
    <x v="3"/>
    <x v="6"/>
    <s v="Electronics"/>
    <n v="4"/>
    <n v="23621"/>
    <n v="94484"/>
    <x v="3"/>
    <x v="1"/>
    <x v="5"/>
    <s v="2026"/>
    <x v="47"/>
  </r>
  <r>
    <s v="ORD1048"/>
    <d v="2026-03-25T00:00:00"/>
    <s v="CUST139"/>
    <s v="Megan"/>
    <s v="Hernandez"/>
    <s v="East Andreahaven"/>
    <x v="3"/>
    <x v="2"/>
    <s v="Electronics"/>
    <n v="4"/>
    <n v="62712"/>
    <n v="250848"/>
    <x v="2"/>
    <x v="0"/>
    <x v="9"/>
    <s v="2026"/>
    <x v="48"/>
  </r>
  <r>
    <s v="ORD1049"/>
    <d v="2025-08-31T00:00:00"/>
    <s v="CUST854"/>
    <s v="Robert"/>
    <s v="Anderson"/>
    <s v="West Antonio"/>
    <x v="0"/>
    <x v="3"/>
    <s v="Electronics"/>
    <n v="1"/>
    <n v="76176"/>
    <n v="76176"/>
    <x v="2"/>
    <x v="0"/>
    <x v="4"/>
    <s v="2025"/>
    <x v="49"/>
  </r>
  <r>
    <s v="ORD1050"/>
    <d v="2026-03-07T00:00:00"/>
    <s v="CUST522"/>
    <s v="Mark"/>
    <s v="Jackson"/>
    <s v="Lake Jessica"/>
    <x v="2"/>
    <x v="6"/>
    <s v="Electronics"/>
    <n v="4"/>
    <n v="78330"/>
    <n v="313320"/>
    <x v="0"/>
    <x v="1"/>
    <x v="9"/>
    <s v="2026"/>
    <x v="50"/>
  </r>
  <r>
    <s v="ORD1051"/>
    <d v="2026-01-13T00:00:00"/>
    <s v="CUST189"/>
    <s v="Nicole"/>
    <s v="Thomas"/>
    <s v="Thomasberg"/>
    <x v="0"/>
    <x v="1"/>
    <s v="Electronics"/>
    <n v="2"/>
    <n v="63993"/>
    <n v="127986"/>
    <x v="4"/>
    <x v="1"/>
    <x v="5"/>
    <s v="2026"/>
    <x v="51"/>
  </r>
  <r>
    <s v="ORD1052"/>
    <d v="2026-01-30T00:00:00"/>
    <s v="CUST846"/>
    <s v="Angela"/>
    <s v="Fox"/>
    <s v="Summerschester"/>
    <x v="1"/>
    <x v="4"/>
    <s v="Electronics"/>
    <n v="3"/>
    <n v="78929"/>
    <n v="236787"/>
    <x v="1"/>
    <x v="1"/>
    <x v="5"/>
    <s v="2026"/>
    <x v="52"/>
  </r>
  <r>
    <s v="ORD1053"/>
    <d v="2026-03-14T00:00:00"/>
    <s v="CUST626"/>
    <s v="Catherine"/>
    <s v="Levine"/>
    <s v="Greenefort"/>
    <x v="2"/>
    <x v="6"/>
    <s v="Electronics"/>
    <n v="5"/>
    <n v="5910"/>
    <n v="29550"/>
    <x v="2"/>
    <x v="2"/>
    <x v="9"/>
    <s v="2026"/>
    <x v="53"/>
  </r>
  <r>
    <s v="ORD1054"/>
    <d v="2025-08-10T00:00:00"/>
    <s v="CUST528"/>
    <s v="Robert"/>
    <s v="Kelly"/>
    <s v="West Francis"/>
    <x v="0"/>
    <x v="5"/>
    <s v="Electronics"/>
    <n v="1"/>
    <n v="53282"/>
    <n v="53282"/>
    <x v="2"/>
    <x v="1"/>
    <x v="4"/>
    <s v="2025"/>
    <x v="54"/>
  </r>
  <r>
    <s v="ORD1055"/>
    <d v="2025-07-19T00:00:00"/>
    <s v="CUST258"/>
    <s v="Crystal"/>
    <s v="Smith"/>
    <s v="East Cliffordview"/>
    <x v="0"/>
    <x v="6"/>
    <s v="Electronics"/>
    <n v="1"/>
    <n v="67851"/>
    <n v="67851"/>
    <x v="3"/>
    <x v="2"/>
    <x v="8"/>
    <s v="2025"/>
    <x v="55"/>
  </r>
  <r>
    <s v="ORD1056"/>
    <d v="2025-07-02T00:00:00"/>
    <s v="CUST545"/>
    <s v="Ronald"/>
    <s v="Sims"/>
    <s v="Sherryburgh"/>
    <x v="1"/>
    <x v="2"/>
    <s v="Electronics"/>
    <n v="5"/>
    <n v="17256"/>
    <n v="86280"/>
    <x v="4"/>
    <x v="0"/>
    <x v="8"/>
    <s v="2025"/>
    <x v="56"/>
  </r>
  <r>
    <s v="ORD1057"/>
    <d v="2026-04-18T00:00:00"/>
    <s v="CUST617"/>
    <s v="Christopher"/>
    <s v="Walker"/>
    <s v="Shannonville"/>
    <x v="0"/>
    <x v="2"/>
    <s v="Electronics"/>
    <n v="5"/>
    <n v="73493"/>
    <n v="367465"/>
    <x v="1"/>
    <x v="2"/>
    <x v="3"/>
    <s v="2026"/>
    <x v="57"/>
  </r>
  <r>
    <s v="ORD1058"/>
    <d v="2025-11-03T00:00:00"/>
    <s v="CUST896"/>
    <s v="Tracy"/>
    <s v="Bauer"/>
    <s v="Aaronburgh"/>
    <x v="2"/>
    <x v="4"/>
    <s v="Electronics"/>
    <n v="5"/>
    <n v="53391"/>
    <n v="266955"/>
    <x v="1"/>
    <x v="0"/>
    <x v="11"/>
    <s v="2025"/>
    <x v="58"/>
  </r>
  <r>
    <s v="ORD1059"/>
    <d v="2025-06-29T00:00:00"/>
    <s v="CUST614"/>
    <s v="Craig"/>
    <s v="Michael"/>
    <s v="Lake Ashley"/>
    <x v="3"/>
    <x v="6"/>
    <s v="Electronics"/>
    <n v="4"/>
    <n v="12462"/>
    <n v="49848"/>
    <x v="0"/>
    <x v="1"/>
    <x v="10"/>
    <s v="2025"/>
    <x v="59"/>
  </r>
  <r>
    <s v="ORD1060"/>
    <d v="2025-08-29T00:00:00"/>
    <s v="CUST618"/>
    <s v="Anthony"/>
    <s v="Garner"/>
    <s v="Deannaberg"/>
    <x v="0"/>
    <x v="6"/>
    <s v="Electronics"/>
    <n v="1"/>
    <n v="36202"/>
    <n v="36202"/>
    <x v="2"/>
    <x v="1"/>
    <x v="4"/>
    <s v="2025"/>
    <x v="60"/>
  </r>
  <r>
    <s v="ORD1061"/>
    <d v="2025-06-20T00:00:00"/>
    <s v="CUST790"/>
    <s v="Mandy"/>
    <s v="Davidson"/>
    <s v="West Stephenhaven"/>
    <x v="2"/>
    <x v="2"/>
    <s v="Electronics"/>
    <n v="4"/>
    <n v="68822"/>
    <n v="275288"/>
    <x v="3"/>
    <x v="0"/>
    <x v="10"/>
    <s v="2025"/>
    <x v="61"/>
  </r>
  <r>
    <s v="ORD1062"/>
    <d v="2026-01-17T00:00:00"/>
    <s v="CUST820"/>
    <s v="Jacob"/>
    <s v="Moore"/>
    <s v="Juarezbury"/>
    <x v="2"/>
    <x v="6"/>
    <s v="Electronics"/>
    <n v="5"/>
    <n v="9158"/>
    <n v="45790"/>
    <x v="4"/>
    <x v="0"/>
    <x v="5"/>
    <s v="2026"/>
    <x v="62"/>
  </r>
  <r>
    <s v="ORD1063"/>
    <d v="2026-02-21T00:00:00"/>
    <s v="CUST433"/>
    <s v="William"/>
    <s v="Phillips"/>
    <s v="Lake Anthonyland"/>
    <x v="0"/>
    <x v="3"/>
    <s v="Electronics"/>
    <n v="1"/>
    <n v="33652"/>
    <n v="33652"/>
    <x v="2"/>
    <x v="1"/>
    <x v="2"/>
    <s v="2026"/>
    <x v="63"/>
  </r>
  <r>
    <s v="ORD1064"/>
    <d v="2026-04-22T00:00:00"/>
    <s v="CUST665"/>
    <s v="Marissa"/>
    <s v="Smith"/>
    <s v="North Leahland"/>
    <x v="3"/>
    <x v="3"/>
    <s v="Electronics"/>
    <n v="5"/>
    <n v="15712"/>
    <n v="78560"/>
    <x v="4"/>
    <x v="2"/>
    <x v="3"/>
    <s v="2026"/>
    <x v="64"/>
  </r>
  <r>
    <s v="ORD1065"/>
    <d v="2025-11-09T00:00:00"/>
    <s v="CUST791"/>
    <s v="Kenneth"/>
    <s v="Sanchez"/>
    <s v="Terrytown"/>
    <x v="2"/>
    <x v="2"/>
    <s v="Electronics"/>
    <n v="5"/>
    <n v="16881"/>
    <n v="84405"/>
    <x v="1"/>
    <x v="0"/>
    <x v="11"/>
    <s v="2025"/>
    <x v="65"/>
  </r>
  <r>
    <s v="ORD1066"/>
    <d v="2025-09-08T00:00:00"/>
    <s v="CUST919"/>
    <s v="Diane"/>
    <s v="Haynes"/>
    <s v="Davisborough"/>
    <x v="0"/>
    <x v="0"/>
    <s v="Electronics"/>
    <n v="1"/>
    <n v="57248"/>
    <n v="57248"/>
    <x v="0"/>
    <x v="1"/>
    <x v="0"/>
    <s v="2025"/>
    <x v="66"/>
  </r>
  <r>
    <s v="ORD1067"/>
    <d v="2026-01-26T00:00:00"/>
    <s v="CUST208"/>
    <s v="Kirk"/>
    <s v="Carr"/>
    <s v="North Pamelastad"/>
    <x v="2"/>
    <x v="5"/>
    <s v="Electronics"/>
    <n v="5"/>
    <n v="2037"/>
    <n v="10185"/>
    <x v="1"/>
    <x v="1"/>
    <x v="5"/>
    <s v="2026"/>
    <x v="67"/>
  </r>
  <r>
    <s v="ORD1068"/>
    <d v="2026-04-14T00:00:00"/>
    <s v="CUST984"/>
    <s v="Julia"/>
    <s v="Thomas"/>
    <s v="Port Kimberlystad"/>
    <x v="0"/>
    <x v="0"/>
    <s v="Electronics"/>
    <n v="3"/>
    <n v="54394"/>
    <n v="163182"/>
    <x v="1"/>
    <x v="1"/>
    <x v="3"/>
    <s v="2026"/>
    <x v="68"/>
  </r>
  <r>
    <s v="ORD1069"/>
    <d v="2026-03-18T00:00:00"/>
    <s v="CUST253"/>
    <s v="Beth"/>
    <s v="Newton"/>
    <s v="Jeffreyberg"/>
    <x v="1"/>
    <x v="4"/>
    <s v="Electronics"/>
    <n v="4"/>
    <n v="46217"/>
    <n v="184868"/>
    <x v="0"/>
    <x v="0"/>
    <x v="9"/>
    <s v="2026"/>
    <x v="69"/>
  </r>
  <r>
    <s v="ORD1070"/>
    <d v="2025-08-17T00:00:00"/>
    <s v="CUST503"/>
    <s v="Richard"/>
    <s v="Davis"/>
    <s v="Lake Mackenzieland"/>
    <x v="3"/>
    <x v="6"/>
    <s v="Electronics"/>
    <n v="3"/>
    <n v="59016"/>
    <n v="177048"/>
    <x v="0"/>
    <x v="0"/>
    <x v="4"/>
    <s v="2025"/>
    <x v="70"/>
  </r>
  <r>
    <s v="ORD1071"/>
    <d v="2026-04-20T00:00:00"/>
    <s v="CUST150"/>
    <s v="Randall"/>
    <s v="Joseph"/>
    <s v="Charlenemouth"/>
    <x v="2"/>
    <x v="3"/>
    <s v="Electronics"/>
    <n v="5"/>
    <n v="28369"/>
    <n v="141845"/>
    <x v="0"/>
    <x v="1"/>
    <x v="3"/>
    <s v="2026"/>
    <x v="71"/>
  </r>
  <r>
    <s v="ORD1072"/>
    <d v="2025-05-02T00:00:00"/>
    <s v="CUST312"/>
    <s v="Mark"/>
    <s v="Thompson"/>
    <s v="Port Keith"/>
    <x v="1"/>
    <x v="6"/>
    <s v="Electronics"/>
    <n v="5"/>
    <n v="66372"/>
    <n v="331860"/>
    <x v="3"/>
    <x v="1"/>
    <x v="1"/>
    <s v="2025"/>
    <x v="72"/>
  </r>
  <r>
    <s v="ORD1073"/>
    <d v="2025-09-02T00:00:00"/>
    <s v="CUST718"/>
    <s v="Kimberly"/>
    <s v="Martinez"/>
    <s v="Ryanside"/>
    <x v="0"/>
    <x v="5"/>
    <s v="Electronics"/>
    <n v="2"/>
    <n v="56138"/>
    <n v="112276"/>
    <x v="3"/>
    <x v="0"/>
    <x v="0"/>
    <s v="2025"/>
    <x v="73"/>
  </r>
  <r>
    <s v="ORD1074"/>
    <d v="2025-07-09T00:00:00"/>
    <s v="CUST620"/>
    <s v="Brian"/>
    <s v="Salinas"/>
    <s v="New Sandra"/>
    <x v="0"/>
    <x v="6"/>
    <s v="Electronics"/>
    <n v="5"/>
    <n v="46857"/>
    <n v="234285"/>
    <x v="0"/>
    <x v="0"/>
    <x v="8"/>
    <s v="2025"/>
    <x v="74"/>
  </r>
  <r>
    <s v="ORD1075"/>
    <d v="2025-07-09T00:00:00"/>
    <s v="CUST284"/>
    <s v="Melissa"/>
    <s v="Ortiz"/>
    <s v="Reeseview"/>
    <x v="2"/>
    <x v="5"/>
    <s v="Electronics"/>
    <n v="5"/>
    <n v="25749"/>
    <n v="128745"/>
    <x v="1"/>
    <x v="0"/>
    <x v="8"/>
    <s v="2025"/>
    <x v="75"/>
  </r>
  <r>
    <s v="ORD1076"/>
    <d v="2026-01-23T00:00:00"/>
    <s v="CUST177"/>
    <s v="Robert"/>
    <s v="Lewis"/>
    <s v="Michaelstad"/>
    <x v="1"/>
    <x v="1"/>
    <s v="Electronics"/>
    <n v="4"/>
    <n v="58376"/>
    <n v="233504"/>
    <x v="2"/>
    <x v="2"/>
    <x v="5"/>
    <s v="2026"/>
    <x v="76"/>
  </r>
  <r>
    <s v="ORD1077"/>
    <d v="2025-07-31T00:00:00"/>
    <s v="CUST977"/>
    <s v="Keith"/>
    <s v="Boone"/>
    <s v="Lake Kevinview"/>
    <x v="2"/>
    <x v="2"/>
    <s v="Electronics"/>
    <n v="1"/>
    <n v="36187"/>
    <n v="36187"/>
    <x v="4"/>
    <x v="0"/>
    <x v="8"/>
    <s v="2025"/>
    <x v="77"/>
  </r>
  <r>
    <s v="ORD1078"/>
    <d v="2026-03-09T00:00:00"/>
    <s v="CUST497"/>
    <s v="Christy"/>
    <s v="Hernandez"/>
    <s v="Kellybury"/>
    <x v="1"/>
    <x v="5"/>
    <s v="Electronics"/>
    <n v="5"/>
    <n v="70077"/>
    <n v="350385"/>
    <x v="1"/>
    <x v="1"/>
    <x v="9"/>
    <s v="2026"/>
    <x v="78"/>
  </r>
  <r>
    <s v="ORD1079"/>
    <d v="2026-02-15T00:00:00"/>
    <s v="CUST670"/>
    <s v="Scott"/>
    <s v="Welch"/>
    <s v="Antonioland"/>
    <x v="2"/>
    <x v="5"/>
    <s v="Electronics"/>
    <n v="2"/>
    <n v="17160"/>
    <n v="34320"/>
    <x v="4"/>
    <x v="1"/>
    <x v="2"/>
    <s v="2026"/>
    <x v="79"/>
  </r>
  <r>
    <s v="ORD1080"/>
    <d v="2025-10-03T00:00:00"/>
    <s v="CUST368"/>
    <s v="Mandy"/>
    <s v="Cortez"/>
    <s v="West Amandaport"/>
    <x v="3"/>
    <x v="5"/>
    <s v="Electronics"/>
    <n v="5"/>
    <n v="4188"/>
    <n v="20940"/>
    <x v="2"/>
    <x v="0"/>
    <x v="7"/>
    <s v="2025"/>
    <x v="80"/>
  </r>
  <r>
    <s v="ORD1081"/>
    <d v="2025-09-05T00:00:00"/>
    <s v="CUST354"/>
    <s v="Sandra"/>
    <s v="Noble"/>
    <s v="Stevenfort"/>
    <x v="0"/>
    <x v="5"/>
    <s v="Electronics"/>
    <n v="2"/>
    <n v="31828"/>
    <n v="63656"/>
    <x v="1"/>
    <x v="0"/>
    <x v="0"/>
    <s v="2025"/>
    <x v="81"/>
  </r>
  <r>
    <s v="ORD1082"/>
    <d v="2025-07-30T00:00:00"/>
    <s v="CUST666"/>
    <s v="Collin"/>
    <s v="Garcia"/>
    <s v="New Allisonport"/>
    <x v="1"/>
    <x v="6"/>
    <s v="Electronics"/>
    <n v="1"/>
    <n v="72345"/>
    <n v="72345"/>
    <x v="2"/>
    <x v="0"/>
    <x v="8"/>
    <s v="2025"/>
    <x v="82"/>
  </r>
  <r>
    <s v="ORD1083"/>
    <d v="2025-12-17T00:00:00"/>
    <s v="CUST538"/>
    <s v="Michael"/>
    <s v="Robles"/>
    <s v="South Kimberly"/>
    <x v="0"/>
    <x v="3"/>
    <s v="Electronics"/>
    <n v="5"/>
    <n v="1815"/>
    <n v="9075"/>
    <x v="2"/>
    <x v="1"/>
    <x v="6"/>
    <s v="2025"/>
    <x v="83"/>
  </r>
  <r>
    <s v="ORD1084"/>
    <d v="2025-11-25T00:00:00"/>
    <s v="CUST368"/>
    <s v="Philip"/>
    <s v="Chandler"/>
    <s v="Floreston"/>
    <x v="1"/>
    <x v="6"/>
    <s v="Electronics"/>
    <n v="5"/>
    <n v="76671"/>
    <n v="383355"/>
    <x v="2"/>
    <x v="2"/>
    <x v="11"/>
    <s v="2025"/>
    <x v="84"/>
  </r>
  <r>
    <s v="ORD1085"/>
    <d v="2025-11-19T00:00:00"/>
    <s v="CUST317"/>
    <s v="Mr. Cody"/>
    <s v="Stewart"/>
    <s v="South Michael"/>
    <x v="0"/>
    <x v="3"/>
    <s v="Electronics"/>
    <n v="1"/>
    <n v="30889"/>
    <n v="30889"/>
    <x v="1"/>
    <x v="1"/>
    <x v="11"/>
    <s v="2025"/>
    <x v="85"/>
  </r>
  <r>
    <s v="ORD1086"/>
    <d v="2025-06-17T00:00:00"/>
    <s v="CUST830"/>
    <s v="Luis"/>
    <s v="Conley"/>
    <s v="Christieberg"/>
    <x v="0"/>
    <x v="2"/>
    <s v="Electronics"/>
    <n v="3"/>
    <n v="3568"/>
    <n v="10704"/>
    <x v="2"/>
    <x v="0"/>
    <x v="10"/>
    <s v="2025"/>
    <x v="86"/>
  </r>
  <r>
    <s v="ORD1087"/>
    <d v="2026-04-11T00:00:00"/>
    <s v="CUST891"/>
    <s v="Brandon"/>
    <s v="Coleman"/>
    <s v="Shannonport"/>
    <x v="2"/>
    <x v="4"/>
    <s v="Electronics"/>
    <n v="1"/>
    <n v="79426"/>
    <n v="79426"/>
    <x v="2"/>
    <x v="1"/>
    <x v="3"/>
    <s v="2026"/>
    <x v="87"/>
  </r>
  <r>
    <s v="ORD1088"/>
    <d v="2026-04-15T00:00:00"/>
    <s v="CUST849"/>
    <s v="Jennifer"/>
    <s v="Ford"/>
    <s v="West Sean"/>
    <x v="1"/>
    <x v="3"/>
    <s v="Electronics"/>
    <n v="3"/>
    <n v="78417"/>
    <n v="235251"/>
    <x v="3"/>
    <x v="2"/>
    <x v="3"/>
    <s v="2026"/>
    <x v="88"/>
  </r>
  <r>
    <s v="ORD1089"/>
    <d v="2025-06-23T00:00:00"/>
    <s v="CUST333"/>
    <s v="Leonard"/>
    <s v="Andrews"/>
    <s v="Arellanoport"/>
    <x v="1"/>
    <x v="4"/>
    <s v="Electronics"/>
    <n v="4"/>
    <n v="20711"/>
    <n v="82844"/>
    <x v="4"/>
    <x v="1"/>
    <x v="10"/>
    <s v="2025"/>
    <x v="89"/>
  </r>
  <r>
    <s v="ORD1090"/>
    <d v="2025-05-01T00:00:00"/>
    <s v="CUST383"/>
    <s v="Mark"/>
    <s v="Jones"/>
    <s v="South Matthew"/>
    <x v="0"/>
    <x v="6"/>
    <s v="Electronics"/>
    <n v="4"/>
    <n v="13789"/>
    <n v="55156"/>
    <x v="0"/>
    <x v="0"/>
    <x v="1"/>
    <s v="2025"/>
    <x v="90"/>
  </r>
  <r>
    <s v="ORD1091"/>
    <d v="2025-05-08T00:00:00"/>
    <s v="CUST828"/>
    <s v="Dalton"/>
    <s v="Anderson"/>
    <s v="Deanshire"/>
    <x v="3"/>
    <x v="3"/>
    <s v="Electronics"/>
    <n v="2"/>
    <n v="31026"/>
    <n v="62052"/>
    <x v="4"/>
    <x v="2"/>
    <x v="1"/>
    <s v="2025"/>
    <x v="91"/>
  </r>
  <r>
    <s v="ORD1092"/>
    <d v="2026-02-19T00:00:00"/>
    <s v="CUST655"/>
    <s v="Erik"/>
    <s v="Osborn"/>
    <s v="North Adam"/>
    <x v="2"/>
    <x v="2"/>
    <s v="Electronics"/>
    <n v="3"/>
    <n v="10173"/>
    <n v="30519"/>
    <x v="3"/>
    <x v="2"/>
    <x v="2"/>
    <s v="2026"/>
    <x v="92"/>
  </r>
  <r>
    <s v="ORD1093"/>
    <d v="2025-06-22T00:00:00"/>
    <s v="CUST361"/>
    <s v="Victoria"/>
    <s v="Andrews"/>
    <s v="Staceyville"/>
    <x v="0"/>
    <x v="4"/>
    <s v="Electronics"/>
    <n v="3"/>
    <n v="74692"/>
    <n v="224076"/>
    <x v="3"/>
    <x v="2"/>
    <x v="10"/>
    <s v="2025"/>
    <x v="93"/>
  </r>
  <r>
    <s v="ORD1094"/>
    <d v="2026-04-18T00:00:00"/>
    <s v="CUST648"/>
    <s v="Timothy"/>
    <s v="Cook"/>
    <s v="East Connie"/>
    <x v="0"/>
    <x v="3"/>
    <s v="Electronics"/>
    <n v="5"/>
    <n v="64459"/>
    <n v="322295"/>
    <x v="3"/>
    <x v="2"/>
    <x v="3"/>
    <s v="2026"/>
    <x v="94"/>
  </r>
  <r>
    <s v="ORD1095"/>
    <d v="2026-03-26T00:00:00"/>
    <s v="CUST577"/>
    <s v="Angela"/>
    <s v="Price"/>
    <s v="Mikestad"/>
    <x v="0"/>
    <x v="3"/>
    <s v="Electronics"/>
    <n v="2"/>
    <n v="57504"/>
    <n v="115008"/>
    <x v="1"/>
    <x v="0"/>
    <x v="9"/>
    <s v="2026"/>
    <x v="95"/>
  </r>
  <r>
    <s v="ORD1096"/>
    <d v="2026-02-26T00:00:00"/>
    <s v="CUST503"/>
    <s v="Kyle"/>
    <s v="Campbell"/>
    <s v="Anthonyburgh"/>
    <x v="1"/>
    <x v="2"/>
    <s v="Electronics"/>
    <n v="2"/>
    <n v="40745"/>
    <n v="81490"/>
    <x v="3"/>
    <x v="1"/>
    <x v="2"/>
    <s v="2026"/>
    <x v="96"/>
  </r>
  <r>
    <s v="ORD1097"/>
    <d v="2025-06-28T00:00:00"/>
    <s v="CUST587"/>
    <s v="Jason"/>
    <s v="Dillon"/>
    <s v="Bellton"/>
    <x v="3"/>
    <x v="3"/>
    <s v="Electronics"/>
    <n v="4"/>
    <n v="16011"/>
    <n v="64044"/>
    <x v="4"/>
    <x v="1"/>
    <x v="10"/>
    <s v="2025"/>
    <x v="97"/>
  </r>
  <r>
    <s v="ORD1098"/>
    <d v="2025-09-26T00:00:00"/>
    <s v="CUST504"/>
    <s v="Justin"/>
    <s v="Bryant"/>
    <s v="Weaverland"/>
    <x v="2"/>
    <x v="4"/>
    <s v="Electronics"/>
    <n v="4"/>
    <n v="36825"/>
    <n v="147300"/>
    <x v="3"/>
    <x v="2"/>
    <x v="0"/>
    <s v="2025"/>
    <x v="98"/>
  </r>
  <r>
    <s v="ORD1099"/>
    <d v="2025-11-30T00:00:00"/>
    <s v="CUST999"/>
    <s v="David"/>
    <s v="Johnson"/>
    <s v="Lake Timothyland"/>
    <x v="0"/>
    <x v="4"/>
    <s v="Electronics"/>
    <n v="5"/>
    <n v="37226"/>
    <n v="186130"/>
    <x v="3"/>
    <x v="1"/>
    <x v="11"/>
    <s v="2025"/>
    <x v="99"/>
  </r>
  <r>
    <s v="ORD1100"/>
    <d v="2025-09-05T00:00:00"/>
    <s v="CUST487"/>
    <s v="Ryan Hickman"/>
    <s v="Jr."/>
    <s v="Garciahaven"/>
    <x v="2"/>
    <x v="0"/>
    <s v="Electronics"/>
    <n v="3"/>
    <n v="58552"/>
    <n v="175656"/>
    <x v="0"/>
    <x v="2"/>
    <x v="0"/>
    <s v="2025"/>
    <x v="100"/>
  </r>
  <r>
    <s v="ORD1101"/>
    <d v="2026-03-05T00:00:00"/>
    <s v="CUST833"/>
    <s v="Marilyn"/>
    <s v="Riley"/>
    <s v="South Allenhaven"/>
    <x v="0"/>
    <x v="3"/>
    <s v="Electronics"/>
    <n v="2"/>
    <n v="41398"/>
    <n v="82796"/>
    <x v="4"/>
    <x v="0"/>
    <x v="9"/>
    <s v="2026"/>
    <x v="101"/>
  </r>
  <r>
    <s v="ORD1102"/>
    <d v="2026-04-04T00:00:00"/>
    <s v="CUST904"/>
    <s v="Bruce"/>
    <s v="Payne"/>
    <s v="Blakeshire"/>
    <x v="1"/>
    <x v="0"/>
    <s v="Electronics"/>
    <n v="2"/>
    <n v="78848"/>
    <n v="157696"/>
    <x v="0"/>
    <x v="1"/>
    <x v="3"/>
    <s v="2026"/>
    <x v="102"/>
  </r>
  <r>
    <s v="ORD1103"/>
    <d v="2025-06-21T00:00:00"/>
    <s v="CUST269"/>
    <s v="Tina"/>
    <s v="Ross"/>
    <s v="Jessicaborough"/>
    <x v="3"/>
    <x v="6"/>
    <s v="Electronics"/>
    <n v="3"/>
    <n v="9176"/>
    <n v="27528"/>
    <x v="0"/>
    <x v="0"/>
    <x v="10"/>
    <s v="2025"/>
    <x v="103"/>
  </r>
  <r>
    <s v="ORD1104"/>
    <d v="2026-03-20T00:00:00"/>
    <s v="CUST769"/>
    <s v="Wendy"/>
    <s v="Medina"/>
    <s v="West Haleyborough"/>
    <x v="0"/>
    <x v="2"/>
    <s v="Electronics"/>
    <n v="3"/>
    <n v="76345"/>
    <n v="229035"/>
    <x v="4"/>
    <x v="1"/>
    <x v="9"/>
    <s v="2026"/>
    <x v="104"/>
  </r>
  <r>
    <s v="ORD1105"/>
    <d v="2025-07-05T00:00:00"/>
    <s v="CUST781"/>
    <s v="Anthony"/>
    <s v="Rodriguez"/>
    <s v="North Kyleborough"/>
    <x v="1"/>
    <x v="6"/>
    <s v="Electronics"/>
    <n v="5"/>
    <n v="2804"/>
    <n v="14020"/>
    <x v="0"/>
    <x v="2"/>
    <x v="8"/>
    <s v="2025"/>
    <x v="105"/>
  </r>
  <r>
    <s v="ORD1106"/>
    <d v="2025-12-15T00:00:00"/>
    <s v="CUST914"/>
    <s v="Kevin"/>
    <s v="Bell"/>
    <s v="West Angela"/>
    <x v="3"/>
    <x v="3"/>
    <s v="Electronics"/>
    <n v="2"/>
    <n v="11295"/>
    <n v="22590"/>
    <x v="3"/>
    <x v="2"/>
    <x v="6"/>
    <s v="2025"/>
    <x v="106"/>
  </r>
  <r>
    <s v="ORD1107"/>
    <d v="2026-03-23T00:00:00"/>
    <s v="CUST452"/>
    <s v="Cheryl"/>
    <s v="Curry"/>
    <s v="Lake Philip"/>
    <x v="1"/>
    <x v="0"/>
    <s v="Electronics"/>
    <n v="1"/>
    <n v="61543"/>
    <n v="61543"/>
    <x v="1"/>
    <x v="2"/>
    <x v="9"/>
    <s v="2026"/>
    <x v="107"/>
  </r>
  <r>
    <s v="ORD1108"/>
    <d v="2025-09-06T00:00:00"/>
    <s v="CUST114"/>
    <s v="Chelsea"/>
    <s v="Vega"/>
    <s v="West Crystal"/>
    <x v="0"/>
    <x v="5"/>
    <s v="Electronics"/>
    <n v="5"/>
    <n v="38893"/>
    <n v="194465"/>
    <x v="2"/>
    <x v="2"/>
    <x v="0"/>
    <s v="2025"/>
    <x v="108"/>
  </r>
  <r>
    <s v="ORD1109"/>
    <d v="2025-07-31T00:00:00"/>
    <s v="CUST770"/>
    <s v="Timothy"/>
    <s v="Chavez"/>
    <s v="Lake Jason"/>
    <x v="3"/>
    <x v="5"/>
    <s v="Electronics"/>
    <n v="4"/>
    <n v="6543"/>
    <n v="26172"/>
    <x v="3"/>
    <x v="2"/>
    <x v="8"/>
    <s v="2025"/>
    <x v="109"/>
  </r>
  <r>
    <s v="ORD1110"/>
    <d v="2026-02-18T00:00:00"/>
    <s v="CUST453"/>
    <s v="Terry"/>
    <s v="Williams"/>
    <s v="Nelsonhaven"/>
    <x v="1"/>
    <x v="2"/>
    <s v="Electronics"/>
    <n v="1"/>
    <n v="54528"/>
    <n v="54528"/>
    <x v="4"/>
    <x v="2"/>
    <x v="2"/>
    <s v="2026"/>
    <x v="110"/>
  </r>
  <r>
    <s v="ORD1111"/>
    <d v="2026-03-14T00:00:00"/>
    <s v="CUST468"/>
    <s v="Joseph"/>
    <s v="White"/>
    <s v="Brucetown"/>
    <x v="0"/>
    <x v="4"/>
    <s v="Electronics"/>
    <n v="1"/>
    <n v="43523"/>
    <n v="43523"/>
    <x v="0"/>
    <x v="1"/>
    <x v="9"/>
    <s v="2026"/>
    <x v="111"/>
  </r>
  <r>
    <s v="ORD1112"/>
    <d v="2025-11-16T00:00:00"/>
    <s v="CUST285"/>
    <s v="James"/>
    <s v="Wilson"/>
    <s v="North Robert"/>
    <x v="3"/>
    <x v="6"/>
    <s v="Electronics"/>
    <n v="3"/>
    <n v="38133"/>
    <n v="114399"/>
    <x v="1"/>
    <x v="0"/>
    <x v="11"/>
    <s v="2025"/>
    <x v="112"/>
  </r>
  <r>
    <s v="ORD1113"/>
    <d v="2025-10-12T00:00:00"/>
    <s v="CUST284"/>
    <s v="Alexandra"/>
    <s v="Lam"/>
    <s v="South Joseph"/>
    <x v="2"/>
    <x v="4"/>
    <s v="Electronics"/>
    <n v="5"/>
    <n v="72871"/>
    <n v="364355"/>
    <x v="4"/>
    <x v="0"/>
    <x v="7"/>
    <s v="2025"/>
    <x v="113"/>
  </r>
  <r>
    <s v="ORD1114"/>
    <d v="2026-02-14T00:00:00"/>
    <s v="CUST485"/>
    <s v="Mrs. Brianna"/>
    <s v="Richard"/>
    <s v="East Maria"/>
    <x v="2"/>
    <x v="5"/>
    <s v="Electronics"/>
    <n v="1"/>
    <n v="77788"/>
    <n v="77788"/>
    <x v="1"/>
    <x v="0"/>
    <x v="2"/>
    <s v="2026"/>
    <x v="114"/>
  </r>
  <r>
    <s v="ORD1115"/>
    <d v="2025-05-31T00:00:00"/>
    <s v="CUST375"/>
    <s v="Mary"/>
    <s v="Sweeney"/>
    <s v="Crawfordside"/>
    <x v="1"/>
    <x v="5"/>
    <s v="Electronics"/>
    <n v="4"/>
    <n v="3973"/>
    <n v="15892"/>
    <x v="2"/>
    <x v="0"/>
    <x v="1"/>
    <s v="2025"/>
    <x v="115"/>
  </r>
  <r>
    <s v="ORD1116"/>
    <d v="2025-09-20T00:00:00"/>
    <s v="CUST773"/>
    <s v="Brian"/>
    <s v="Allen"/>
    <s v="West Jamie"/>
    <x v="2"/>
    <x v="2"/>
    <s v="Electronics"/>
    <n v="3"/>
    <n v="52958"/>
    <n v="158874"/>
    <x v="3"/>
    <x v="1"/>
    <x v="0"/>
    <s v="2025"/>
    <x v="116"/>
  </r>
  <r>
    <s v="ORD1117"/>
    <d v="2026-04-04T00:00:00"/>
    <s v="CUST426"/>
    <s v="Christopher"/>
    <s v="Bowman"/>
    <s v="Hollandshire"/>
    <x v="0"/>
    <x v="2"/>
    <s v="Electronics"/>
    <n v="1"/>
    <n v="24634"/>
    <n v="24634"/>
    <x v="1"/>
    <x v="1"/>
    <x v="3"/>
    <s v="2026"/>
    <x v="117"/>
  </r>
  <r>
    <s v="ORD1118"/>
    <d v="2026-03-12T00:00:00"/>
    <s v="CUST845"/>
    <s v="Corey"/>
    <s v="Sanders"/>
    <s v="South Destinyfort"/>
    <x v="3"/>
    <x v="3"/>
    <s v="Electronics"/>
    <n v="4"/>
    <n v="42559"/>
    <n v="170236"/>
    <x v="0"/>
    <x v="2"/>
    <x v="9"/>
    <s v="2026"/>
    <x v="118"/>
  </r>
  <r>
    <s v="ORD1119"/>
    <d v="2026-03-09T00:00:00"/>
    <s v="CUST406"/>
    <s v="Robert"/>
    <s v="Lyons"/>
    <s v="Joelmouth"/>
    <x v="3"/>
    <x v="4"/>
    <s v="Electronics"/>
    <n v="4"/>
    <n v="42045"/>
    <n v="168180"/>
    <x v="3"/>
    <x v="0"/>
    <x v="9"/>
    <s v="2026"/>
    <x v="119"/>
  </r>
  <r>
    <s v="ORD1120"/>
    <d v="2025-10-29T00:00:00"/>
    <s v="CUST748"/>
    <s v="Sarah"/>
    <s v="Vance"/>
    <s v="Lake Paul"/>
    <x v="1"/>
    <x v="2"/>
    <s v="Electronics"/>
    <n v="4"/>
    <n v="75524"/>
    <n v="302096"/>
    <x v="1"/>
    <x v="0"/>
    <x v="7"/>
    <s v="2025"/>
    <x v="120"/>
  </r>
  <r>
    <s v="ORD1121"/>
    <d v="2026-01-30T00:00:00"/>
    <s v="CUST678"/>
    <s v="Mrs. Amanda"/>
    <s v="Hubbard"/>
    <s v="New Leahhaven"/>
    <x v="1"/>
    <x v="1"/>
    <s v="Electronics"/>
    <n v="5"/>
    <n v="65826"/>
    <n v="329130"/>
    <x v="0"/>
    <x v="2"/>
    <x v="5"/>
    <s v="2026"/>
    <x v="121"/>
  </r>
  <r>
    <s v="ORD1122"/>
    <d v="2025-05-20T00:00:00"/>
    <s v="CUST826"/>
    <s v="Ronald"/>
    <s v="Torres"/>
    <s v="Port Charles"/>
    <x v="1"/>
    <x v="6"/>
    <s v="Electronics"/>
    <n v="3"/>
    <n v="55760"/>
    <n v="167280"/>
    <x v="1"/>
    <x v="2"/>
    <x v="1"/>
    <s v="2025"/>
    <x v="122"/>
  </r>
  <r>
    <s v="ORD1123"/>
    <d v="2025-09-13T00:00:00"/>
    <s v="CUST612"/>
    <s v="Pam"/>
    <s v="Cooper"/>
    <s v="Jeffreymouth"/>
    <x v="1"/>
    <x v="5"/>
    <s v="Electronics"/>
    <n v="2"/>
    <n v="19034"/>
    <n v="38068"/>
    <x v="3"/>
    <x v="1"/>
    <x v="0"/>
    <s v="2025"/>
    <x v="123"/>
  </r>
  <r>
    <s v="ORD1124"/>
    <d v="2026-03-06T00:00:00"/>
    <s v="CUST426"/>
    <s v="Jacob"/>
    <s v="Romero"/>
    <s v="New Mary"/>
    <x v="0"/>
    <x v="0"/>
    <s v="Electronics"/>
    <n v="3"/>
    <n v="62907"/>
    <n v="188721"/>
    <x v="3"/>
    <x v="0"/>
    <x v="9"/>
    <s v="2026"/>
    <x v="124"/>
  </r>
  <r>
    <s v="ORD1125"/>
    <d v="2025-06-19T00:00:00"/>
    <s v="CUST712"/>
    <s v="Richard"/>
    <s v="Murray"/>
    <s v="Port Tracy"/>
    <x v="2"/>
    <x v="5"/>
    <s v="Electronics"/>
    <n v="3"/>
    <n v="11210"/>
    <n v="33630"/>
    <x v="0"/>
    <x v="0"/>
    <x v="10"/>
    <s v="2025"/>
    <x v="125"/>
  </r>
  <r>
    <s v="ORD1126"/>
    <d v="2026-03-29T00:00:00"/>
    <s v="CUST353"/>
    <s v="Joshua"/>
    <s v="Neal"/>
    <s v="New Nicholas"/>
    <x v="1"/>
    <x v="6"/>
    <s v="Electronics"/>
    <n v="2"/>
    <n v="66061"/>
    <n v="132122"/>
    <x v="0"/>
    <x v="2"/>
    <x v="9"/>
    <s v="2026"/>
    <x v="126"/>
  </r>
  <r>
    <s v="ORD1127"/>
    <d v="2025-07-15T00:00:00"/>
    <s v="CUST824"/>
    <s v="Matthew"/>
    <s v="Adkins"/>
    <s v="Lake Carlos"/>
    <x v="1"/>
    <x v="1"/>
    <s v="Electronics"/>
    <n v="1"/>
    <n v="44064"/>
    <n v="44064"/>
    <x v="4"/>
    <x v="0"/>
    <x v="8"/>
    <s v="2025"/>
    <x v="127"/>
  </r>
  <r>
    <s v="ORD1128"/>
    <d v="2026-04-29T00:00:00"/>
    <s v="CUST540"/>
    <s v="Julie"/>
    <s v="Keller"/>
    <s v="West Tammyland"/>
    <x v="1"/>
    <x v="6"/>
    <s v="Electronics"/>
    <n v="3"/>
    <n v="42702"/>
    <n v="128106"/>
    <x v="1"/>
    <x v="2"/>
    <x v="3"/>
    <s v="2026"/>
    <x v="128"/>
  </r>
  <r>
    <s v="ORD1129"/>
    <d v="2025-12-26T00:00:00"/>
    <s v="CUST659"/>
    <s v="Patrick"/>
    <s v="Collier"/>
    <s v="New Alexandertown"/>
    <x v="2"/>
    <x v="6"/>
    <s v="Electronics"/>
    <n v="1"/>
    <n v="31925"/>
    <n v="31925"/>
    <x v="1"/>
    <x v="1"/>
    <x v="6"/>
    <s v="2025"/>
    <x v="129"/>
  </r>
  <r>
    <s v="ORD1130"/>
    <d v="2025-10-29T00:00:00"/>
    <s v="CUST504"/>
    <s v="Dr. Angela"/>
    <s v="Horton"/>
    <s v="Keithfort"/>
    <x v="1"/>
    <x v="0"/>
    <s v="Electronics"/>
    <n v="3"/>
    <n v="16446"/>
    <n v="49338"/>
    <x v="1"/>
    <x v="0"/>
    <x v="7"/>
    <s v="2025"/>
    <x v="130"/>
  </r>
  <r>
    <s v="ORD1131"/>
    <d v="2026-02-17T00:00:00"/>
    <s v="CUST643"/>
    <s v="Samantha"/>
    <s v="Rivera"/>
    <s v="West Heather"/>
    <x v="3"/>
    <x v="3"/>
    <s v="Electronics"/>
    <n v="1"/>
    <n v="14555"/>
    <n v="14555"/>
    <x v="2"/>
    <x v="0"/>
    <x v="2"/>
    <s v="2026"/>
    <x v="131"/>
  </r>
  <r>
    <s v="ORD1132"/>
    <d v="2026-03-21T00:00:00"/>
    <s v="CUST261"/>
    <s v="Chelsea"/>
    <s v="Kidd"/>
    <s v="Ryanburgh"/>
    <x v="1"/>
    <x v="2"/>
    <s v="Electronics"/>
    <n v="2"/>
    <n v="48624"/>
    <n v="97248"/>
    <x v="3"/>
    <x v="0"/>
    <x v="9"/>
    <s v="2026"/>
    <x v="132"/>
  </r>
  <r>
    <s v="ORD1133"/>
    <d v="2026-04-28T00:00:00"/>
    <s v="CUST923"/>
    <s v="Jennifer"/>
    <s v="Stevenson"/>
    <s v="East Kaitlyn"/>
    <x v="2"/>
    <x v="5"/>
    <s v="Electronics"/>
    <n v="2"/>
    <n v="66032"/>
    <n v="132064"/>
    <x v="0"/>
    <x v="0"/>
    <x v="3"/>
    <s v="2026"/>
    <x v="133"/>
  </r>
  <r>
    <s v="ORD1134"/>
    <d v="2025-12-06T00:00:00"/>
    <s v="CUST481"/>
    <s v="Andrew"/>
    <s v="Johnson"/>
    <s v="Kimberg"/>
    <x v="3"/>
    <x v="3"/>
    <s v="Electronics"/>
    <n v="3"/>
    <n v="46468"/>
    <n v="139404"/>
    <x v="4"/>
    <x v="2"/>
    <x v="6"/>
    <s v="2025"/>
    <x v="134"/>
  </r>
  <r>
    <s v="ORD1135"/>
    <d v="2025-12-18T00:00:00"/>
    <s v="CUST243"/>
    <s v="Roy"/>
    <s v="Barajas"/>
    <s v="West Christine"/>
    <x v="1"/>
    <x v="6"/>
    <s v="Electronics"/>
    <n v="1"/>
    <n v="43072"/>
    <n v="43072"/>
    <x v="0"/>
    <x v="1"/>
    <x v="6"/>
    <s v="2025"/>
    <x v="135"/>
  </r>
  <r>
    <s v="ORD1136"/>
    <d v="2026-01-13T00:00:00"/>
    <s v="CUST871"/>
    <s v="Robin"/>
    <s v="Ramos"/>
    <s v="Port Linda"/>
    <x v="0"/>
    <x v="3"/>
    <s v="Electronics"/>
    <n v="3"/>
    <n v="35219"/>
    <n v="105657"/>
    <x v="3"/>
    <x v="1"/>
    <x v="5"/>
    <s v="2026"/>
    <x v="136"/>
  </r>
  <r>
    <s v="ORD1137"/>
    <d v="2026-02-26T00:00:00"/>
    <s v="CUST563"/>
    <s v="Alejandro"/>
    <s v="Webb"/>
    <s v="Pattersonfort"/>
    <x v="2"/>
    <x v="3"/>
    <s v="Electronics"/>
    <n v="5"/>
    <n v="25179"/>
    <n v="125895"/>
    <x v="3"/>
    <x v="1"/>
    <x v="2"/>
    <s v="2026"/>
    <x v="137"/>
  </r>
  <r>
    <s v="ORD1138"/>
    <d v="2026-02-07T00:00:00"/>
    <s v="CUST739"/>
    <s v="Kayla"/>
    <s v="Mills"/>
    <s v="East Shawntown"/>
    <x v="0"/>
    <x v="6"/>
    <s v="Electronics"/>
    <n v="1"/>
    <n v="43665"/>
    <n v="43665"/>
    <x v="4"/>
    <x v="2"/>
    <x v="2"/>
    <s v="2026"/>
    <x v="138"/>
  </r>
  <r>
    <s v="ORD1139"/>
    <d v="2025-07-08T00:00:00"/>
    <s v="CUST308"/>
    <s v="Brittany"/>
    <s v="Mercado"/>
    <s v="Jackieview"/>
    <x v="0"/>
    <x v="6"/>
    <s v="Electronics"/>
    <n v="5"/>
    <n v="42664"/>
    <n v="213320"/>
    <x v="1"/>
    <x v="0"/>
    <x v="8"/>
    <s v="2025"/>
    <x v="139"/>
  </r>
  <r>
    <s v="ORD1140"/>
    <d v="2025-09-28T00:00:00"/>
    <s v="CUST221"/>
    <s v="Chelsea"/>
    <s v="Boone"/>
    <s v="East Shawn"/>
    <x v="0"/>
    <x v="5"/>
    <s v="Electronics"/>
    <n v="3"/>
    <n v="65970"/>
    <n v="197910"/>
    <x v="1"/>
    <x v="2"/>
    <x v="0"/>
    <s v="2025"/>
    <x v="140"/>
  </r>
  <r>
    <s v="ORD1141"/>
    <d v="2025-08-18T00:00:00"/>
    <s v="CUST408"/>
    <s v="Tim"/>
    <s v="Miller"/>
    <s v="Coxbury"/>
    <x v="3"/>
    <x v="1"/>
    <s v="Electronics"/>
    <n v="2"/>
    <n v="7089"/>
    <n v="14178"/>
    <x v="0"/>
    <x v="1"/>
    <x v="4"/>
    <s v="2025"/>
    <x v="141"/>
  </r>
  <r>
    <s v="ORD1142"/>
    <d v="2026-03-28T00:00:00"/>
    <s v="CUST756"/>
    <s v="Mary"/>
    <s v="Ford"/>
    <s v="Angiemouth"/>
    <x v="3"/>
    <x v="3"/>
    <s v="Electronics"/>
    <n v="1"/>
    <n v="23595"/>
    <n v="23595"/>
    <x v="4"/>
    <x v="0"/>
    <x v="9"/>
    <s v="2026"/>
    <x v="142"/>
  </r>
  <r>
    <s v="ORD1143"/>
    <d v="2025-09-05T00:00:00"/>
    <s v="CUST468"/>
    <s v="Kaylee"/>
    <s v="Fisher"/>
    <s v="Nicholasfurt"/>
    <x v="1"/>
    <x v="1"/>
    <s v="Electronics"/>
    <n v="4"/>
    <n v="58814"/>
    <n v="235256"/>
    <x v="3"/>
    <x v="0"/>
    <x v="0"/>
    <s v="2025"/>
    <x v="143"/>
  </r>
  <r>
    <s v="ORD1144"/>
    <d v="2025-12-03T00:00:00"/>
    <s v="CUST515"/>
    <s v="Elijah"/>
    <s v="Garza"/>
    <s v="New Rayland"/>
    <x v="2"/>
    <x v="5"/>
    <s v="Electronics"/>
    <n v="2"/>
    <n v="44772"/>
    <n v="89544"/>
    <x v="3"/>
    <x v="2"/>
    <x v="6"/>
    <s v="2025"/>
    <x v="144"/>
  </r>
  <r>
    <s v="ORD1145"/>
    <d v="2025-12-15T00:00:00"/>
    <s v="CUST345"/>
    <s v="William"/>
    <s v="Mosley"/>
    <s v="Karishire"/>
    <x v="0"/>
    <x v="3"/>
    <s v="Electronics"/>
    <n v="4"/>
    <n v="35838"/>
    <n v="143352"/>
    <x v="2"/>
    <x v="0"/>
    <x v="6"/>
    <s v="2025"/>
    <x v="145"/>
  </r>
  <r>
    <s v="ORD1146"/>
    <d v="2026-04-27T00:00:00"/>
    <s v="CUST993"/>
    <s v="Jessica"/>
    <s v="Mullins"/>
    <s v="Hamptonfort"/>
    <x v="2"/>
    <x v="3"/>
    <s v="Electronics"/>
    <n v="4"/>
    <n v="39108"/>
    <n v="156432"/>
    <x v="3"/>
    <x v="0"/>
    <x v="3"/>
    <s v="2026"/>
    <x v="146"/>
  </r>
  <r>
    <s v="ORD1147"/>
    <d v="2025-11-14T00:00:00"/>
    <s v="CUST730"/>
    <s v="Michael"/>
    <s v="Riley"/>
    <s v="North Randy"/>
    <x v="0"/>
    <x v="4"/>
    <s v="Electronics"/>
    <n v="5"/>
    <n v="9796"/>
    <n v="48980"/>
    <x v="3"/>
    <x v="0"/>
    <x v="11"/>
    <s v="2025"/>
    <x v="147"/>
  </r>
  <r>
    <s v="ORD1148"/>
    <d v="2025-05-02T00:00:00"/>
    <s v="CUST814"/>
    <s v="Jared"/>
    <s v="Hogan"/>
    <s v="Jacobport"/>
    <x v="0"/>
    <x v="4"/>
    <s v="Electronics"/>
    <n v="4"/>
    <n v="34634"/>
    <n v="138536"/>
    <x v="0"/>
    <x v="1"/>
    <x v="1"/>
    <s v="2025"/>
    <x v="148"/>
  </r>
  <r>
    <s v="ORD1149"/>
    <d v="2026-02-09T00:00:00"/>
    <s v="CUST141"/>
    <s v="Michelle"/>
    <s v="Lester"/>
    <s v="North Nancy"/>
    <x v="0"/>
    <x v="0"/>
    <s v="Electronics"/>
    <n v="1"/>
    <n v="63253"/>
    <n v="63253"/>
    <x v="1"/>
    <x v="1"/>
    <x v="2"/>
    <s v="2026"/>
    <x v="149"/>
  </r>
  <r>
    <s v="ORD1150"/>
    <d v="2025-12-15T00:00:00"/>
    <s v="CUST947"/>
    <s v="Mark"/>
    <s v="Dixon"/>
    <s v="Lake Glenport"/>
    <x v="2"/>
    <x v="6"/>
    <s v="Electronics"/>
    <n v="4"/>
    <n v="58905"/>
    <n v="235620"/>
    <x v="3"/>
    <x v="2"/>
    <x v="6"/>
    <s v="2025"/>
    <x v="150"/>
  </r>
  <r>
    <s v="ORD1151"/>
    <d v="2025-09-23T00:00:00"/>
    <s v="CUST995"/>
    <s v="Michael"/>
    <s v="Underwood"/>
    <s v="East Matthew"/>
    <x v="0"/>
    <x v="3"/>
    <s v="Electronics"/>
    <n v="4"/>
    <n v="78584"/>
    <n v="314336"/>
    <x v="0"/>
    <x v="1"/>
    <x v="0"/>
    <s v="2025"/>
    <x v="151"/>
  </r>
  <r>
    <s v="ORD1152"/>
    <d v="2026-03-17T00:00:00"/>
    <s v="CUST980"/>
    <s v="Kathryn"/>
    <s v="Orozco"/>
    <s v="Martinezland"/>
    <x v="2"/>
    <x v="2"/>
    <s v="Electronics"/>
    <n v="1"/>
    <n v="17695"/>
    <n v="17695"/>
    <x v="4"/>
    <x v="0"/>
    <x v="9"/>
    <s v="2026"/>
    <x v="152"/>
  </r>
  <r>
    <s v="ORD1153"/>
    <d v="2025-08-12T00:00:00"/>
    <s v="CUST786"/>
    <s v="Douglas"/>
    <s v="Powers"/>
    <s v="East Cassandrahaven"/>
    <x v="3"/>
    <x v="1"/>
    <s v="Electronics"/>
    <n v="1"/>
    <n v="21398"/>
    <n v="21398"/>
    <x v="2"/>
    <x v="2"/>
    <x v="4"/>
    <s v="2025"/>
    <x v="153"/>
  </r>
  <r>
    <s v="ORD1154"/>
    <d v="2025-10-23T00:00:00"/>
    <s v="CUST463"/>
    <s v="Linda"/>
    <s v="Tate"/>
    <s v="Charlesville"/>
    <x v="2"/>
    <x v="2"/>
    <s v="Electronics"/>
    <n v="2"/>
    <n v="31741"/>
    <n v="63482"/>
    <x v="4"/>
    <x v="0"/>
    <x v="7"/>
    <s v="2025"/>
    <x v="154"/>
  </r>
  <r>
    <s v="ORD1155"/>
    <d v="2025-10-22T00:00:00"/>
    <s v="CUST676"/>
    <s v="Stacy"/>
    <s v="Barrett"/>
    <s v="Kathyberg"/>
    <x v="0"/>
    <x v="4"/>
    <s v="Electronics"/>
    <n v="4"/>
    <n v="79805"/>
    <n v="319220"/>
    <x v="1"/>
    <x v="2"/>
    <x v="7"/>
    <s v="2025"/>
    <x v="155"/>
  </r>
  <r>
    <s v="ORD1156"/>
    <d v="2026-04-25T00:00:00"/>
    <s v="CUST637"/>
    <s v="Gary"/>
    <s v="Keller"/>
    <s v="Taylorborough"/>
    <x v="1"/>
    <x v="2"/>
    <s v="Electronics"/>
    <n v="5"/>
    <n v="694"/>
    <n v="3470"/>
    <x v="3"/>
    <x v="2"/>
    <x v="3"/>
    <s v="2026"/>
    <x v="156"/>
  </r>
  <r>
    <s v="ORD1157"/>
    <d v="2025-06-13T00:00:00"/>
    <s v="CUST865"/>
    <s v="Jodi"/>
    <s v="Smith"/>
    <s v="East Desireeborough"/>
    <x v="0"/>
    <x v="1"/>
    <s v="Electronics"/>
    <n v="3"/>
    <n v="20705"/>
    <n v="62115"/>
    <x v="4"/>
    <x v="0"/>
    <x v="10"/>
    <s v="2025"/>
    <x v="157"/>
  </r>
  <r>
    <s v="ORD1158"/>
    <d v="2025-05-13T00:00:00"/>
    <s v="CUST628"/>
    <s v="Stephanie"/>
    <s v="Oliver"/>
    <s v="South Nancytown"/>
    <x v="1"/>
    <x v="6"/>
    <s v="Electronics"/>
    <n v="1"/>
    <n v="61216"/>
    <n v="61216"/>
    <x v="4"/>
    <x v="0"/>
    <x v="1"/>
    <s v="2025"/>
    <x v="158"/>
  </r>
  <r>
    <s v="ORD1159"/>
    <d v="2025-11-24T00:00:00"/>
    <s v="CUST179"/>
    <s v="Daniel"/>
    <s v="Jones"/>
    <s v="Richardburgh"/>
    <x v="0"/>
    <x v="2"/>
    <s v="Electronics"/>
    <n v="1"/>
    <n v="70565"/>
    <n v="70565"/>
    <x v="0"/>
    <x v="2"/>
    <x v="11"/>
    <s v="2025"/>
    <x v="159"/>
  </r>
  <r>
    <s v="ORD1160"/>
    <d v="2025-12-05T00:00:00"/>
    <s v="CUST206"/>
    <s v="Mary"/>
    <s v="Bond"/>
    <s v="Madisonside"/>
    <x v="3"/>
    <x v="1"/>
    <s v="Electronics"/>
    <n v="3"/>
    <n v="55353"/>
    <n v="166059"/>
    <x v="0"/>
    <x v="0"/>
    <x v="6"/>
    <s v="2025"/>
    <x v="160"/>
  </r>
  <r>
    <s v="ORD1161"/>
    <d v="2025-09-22T00:00:00"/>
    <s v="CUST640"/>
    <s v="Kimberly"/>
    <s v="Odom"/>
    <s v="Lake Cynthiaton"/>
    <x v="3"/>
    <x v="0"/>
    <s v="Electronics"/>
    <n v="4"/>
    <n v="62528"/>
    <n v="250112"/>
    <x v="3"/>
    <x v="1"/>
    <x v="0"/>
    <s v="2025"/>
    <x v="161"/>
  </r>
  <r>
    <s v="ORD1162"/>
    <d v="2025-05-24T00:00:00"/>
    <s v="CUST882"/>
    <s v="Susan"/>
    <s v="Santos"/>
    <s v="Sandraville"/>
    <x v="3"/>
    <x v="2"/>
    <s v="Electronics"/>
    <n v="2"/>
    <n v="79314"/>
    <n v="158628"/>
    <x v="0"/>
    <x v="2"/>
    <x v="1"/>
    <s v="2025"/>
    <x v="162"/>
  </r>
  <r>
    <s v="ORD1163"/>
    <d v="2025-07-09T00:00:00"/>
    <s v="CUST545"/>
    <s v="Seth"/>
    <s v="Cardenas"/>
    <s v="Catherinefurt"/>
    <x v="3"/>
    <x v="4"/>
    <s v="Electronics"/>
    <n v="3"/>
    <n v="522"/>
    <n v="1566"/>
    <x v="0"/>
    <x v="1"/>
    <x v="8"/>
    <s v="2025"/>
    <x v="163"/>
  </r>
  <r>
    <s v="ORD1164"/>
    <d v="2025-11-03T00:00:00"/>
    <s v="CUST249"/>
    <s v="Desiree"/>
    <s v="Murray"/>
    <s v="Lake Samantha"/>
    <x v="2"/>
    <x v="6"/>
    <s v="Electronics"/>
    <n v="4"/>
    <n v="30761"/>
    <n v="123044"/>
    <x v="1"/>
    <x v="0"/>
    <x v="11"/>
    <s v="2025"/>
    <x v="164"/>
  </r>
  <r>
    <s v="ORD1165"/>
    <d v="2025-10-16T00:00:00"/>
    <s v="CUST218"/>
    <s v="Elizabeth"/>
    <s v="Ortiz"/>
    <s v="East Gary"/>
    <x v="0"/>
    <x v="5"/>
    <s v="Electronics"/>
    <n v="4"/>
    <n v="50827"/>
    <n v="203308"/>
    <x v="1"/>
    <x v="2"/>
    <x v="7"/>
    <s v="2025"/>
    <x v="165"/>
  </r>
  <r>
    <s v="ORD1166"/>
    <d v="2025-07-12T00:00:00"/>
    <s v="CUST525"/>
    <s v="Natalie"/>
    <s v="Park"/>
    <s v="East Christina"/>
    <x v="0"/>
    <x v="2"/>
    <s v="Electronics"/>
    <n v="1"/>
    <n v="68342"/>
    <n v="68342"/>
    <x v="2"/>
    <x v="0"/>
    <x v="8"/>
    <s v="2025"/>
    <x v="166"/>
  </r>
  <r>
    <s v="ORD1167"/>
    <d v="2025-12-03T00:00:00"/>
    <s v="CUST176"/>
    <s v="Julie"/>
    <s v="Whitney"/>
    <s v="Ericborough"/>
    <x v="3"/>
    <x v="2"/>
    <s v="Electronics"/>
    <n v="5"/>
    <n v="46599"/>
    <n v="232995"/>
    <x v="1"/>
    <x v="2"/>
    <x v="6"/>
    <s v="2025"/>
    <x v="167"/>
  </r>
  <r>
    <s v="ORD1168"/>
    <d v="2026-02-21T00:00:00"/>
    <s v="CUST166"/>
    <s v="Christopher"/>
    <s v="Valenzuela"/>
    <s v="West Scotthaven"/>
    <x v="0"/>
    <x v="1"/>
    <s v="Electronics"/>
    <n v="2"/>
    <n v="13249"/>
    <n v="26498"/>
    <x v="2"/>
    <x v="1"/>
    <x v="2"/>
    <s v="2026"/>
    <x v="168"/>
  </r>
  <r>
    <s v="ORD1169"/>
    <d v="2026-01-22T00:00:00"/>
    <s v="CUST141"/>
    <s v="Veronica"/>
    <s v="Wise"/>
    <s v="Wagnerhaven"/>
    <x v="2"/>
    <x v="1"/>
    <s v="Electronics"/>
    <n v="5"/>
    <n v="4318"/>
    <n v="21590"/>
    <x v="0"/>
    <x v="2"/>
    <x v="5"/>
    <s v="2026"/>
    <x v="169"/>
  </r>
  <r>
    <s v="ORD1170"/>
    <d v="2025-10-22T00:00:00"/>
    <s v="CUST672"/>
    <s v="Lauren"/>
    <s v="Martinez"/>
    <s v="Mclaughlinton"/>
    <x v="3"/>
    <x v="5"/>
    <s v="Electronics"/>
    <n v="5"/>
    <n v="13320"/>
    <n v="66600"/>
    <x v="4"/>
    <x v="2"/>
    <x v="7"/>
    <s v="2025"/>
    <x v="170"/>
  </r>
  <r>
    <s v="ORD1171"/>
    <d v="2025-11-19T00:00:00"/>
    <s v="CUST497"/>
    <s v="Anna"/>
    <s v="Wilson"/>
    <s v="Kellybury"/>
    <x v="0"/>
    <x v="0"/>
    <s v="Electronics"/>
    <n v="2"/>
    <n v="2652"/>
    <n v="5304"/>
    <x v="0"/>
    <x v="2"/>
    <x v="11"/>
    <s v="2025"/>
    <x v="171"/>
  </r>
  <r>
    <s v="ORD1172"/>
    <d v="2025-12-03T00:00:00"/>
    <s v="CUST880"/>
    <s v="Gregg"/>
    <s v="Perez"/>
    <s v="Briannastad"/>
    <x v="3"/>
    <x v="4"/>
    <s v="Electronics"/>
    <n v="1"/>
    <n v="51122"/>
    <n v="51122"/>
    <x v="3"/>
    <x v="1"/>
    <x v="6"/>
    <s v="2025"/>
    <x v="172"/>
  </r>
  <r>
    <s v="ORD1173"/>
    <d v="2025-09-16T00:00:00"/>
    <s v="CUST993"/>
    <s v="Peter"/>
    <s v="Miller"/>
    <s v="Mirandatown"/>
    <x v="3"/>
    <x v="0"/>
    <s v="Electronics"/>
    <n v="3"/>
    <n v="31432"/>
    <n v="94296"/>
    <x v="4"/>
    <x v="2"/>
    <x v="0"/>
    <s v="2025"/>
    <x v="173"/>
  </r>
  <r>
    <s v="ORD1174"/>
    <d v="2026-04-01T00:00:00"/>
    <s v="CUST569"/>
    <s v="Lauren"/>
    <s v="Brennan"/>
    <s v="East Monique"/>
    <x v="2"/>
    <x v="4"/>
    <s v="Electronics"/>
    <n v="1"/>
    <n v="52766"/>
    <n v="52766"/>
    <x v="2"/>
    <x v="2"/>
    <x v="3"/>
    <s v="2026"/>
    <x v="174"/>
  </r>
  <r>
    <s v="ORD1175"/>
    <d v="2026-04-13T00:00:00"/>
    <s v="CUST845"/>
    <s v="David"/>
    <s v="Anderson"/>
    <s v="South Paulchester"/>
    <x v="0"/>
    <x v="0"/>
    <s v="Electronics"/>
    <n v="4"/>
    <n v="43148"/>
    <n v="172592"/>
    <x v="0"/>
    <x v="0"/>
    <x v="3"/>
    <s v="2026"/>
    <x v="175"/>
  </r>
  <r>
    <s v="ORD1176"/>
    <d v="2026-04-08T00:00:00"/>
    <s v="CUST622"/>
    <s v="Kathy"/>
    <s v="Martinez"/>
    <s v="Williamsfort"/>
    <x v="2"/>
    <x v="0"/>
    <s v="Electronics"/>
    <n v="3"/>
    <n v="63205"/>
    <n v="189615"/>
    <x v="1"/>
    <x v="1"/>
    <x v="3"/>
    <s v="2026"/>
    <x v="176"/>
  </r>
  <r>
    <s v="ORD1177"/>
    <d v="2025-07-11T00:00:00"/>
    <s v="CUST818"/>
    <s v="Christopher"/>
    <s v="Garcia"/>
    <s v="Port Petershire"/>
    <x v="3"/>
    <x v="5"/>
    <s v="Electronics"/>
    <n v="1"/>
    <n v="24357"/>
    <n v="24357"/>
    <x v="0"/>
    <x v="2"/>
    <x v="8"/>
    <s v="2025"/>
    <x v="177"/>
  </r>
  <r>
    <s v="ORD1178"/>
    <d v="2025-12-02T00:00:00"/>
    <s v="CUST617"/>
    <s v="Nicole"/>
    <s v="Harris"/>
    <s v="Hodgemouth"/>
    <x v="0"/>
    <x v="0"/>
    <s v="Electronics"/>
    <n v="4"/>
    <n v="42973"/>
    <n v="171892"/>
    <x v="2"/>
    <x v="2"/>
    <x v="6"/>
    <s v="2025"/>
    <x v="178"/>
  </r>
  <r>
    <s v="ORD1179"/>
    <d v="2025-12-05T00:00:00"/>
    <s v="CUST845"/>
    <s v="Gregory"/>
    <s v="Garcia"/>
    <s v="Brianton"/>
    <x v="3"/>
    <x v="5"/>
    <s v="Electronics"/>
    <n v="5"/>
    <n v="48784"/>
    <n v="243920"/>
    <x v="1"/>
    <x v="0"/>
    <x v="6"/>
    <s v="2025"/>
    <x v="179"/>
  </r>
  <r>
    <s v="ORD1180"/>
    <d v="2025-10-29T00:00:00"/>
    <s v="CUST110"/>
    <s v="Nina"/>
    <s v="Everett"/>
    <s v="Lopezville"/>
    <x v="0"/>
    <x v="5"/>
    <s v="Electronics"/>
    <n v="2"/>
    <n v="61472"/>
    <n v="122944"/>
    <x v="3"/>
    <x v="1"/>
    <x v="7"/>
    <s v="2025"/>
    <x v="180"/>
  </r>
  <r>
    <s v="ORD1181"/>
    <d v="2025-11-06T00:00:00"/>
    <s v="CUST299"/>
    <s v="Jason"/>
    <s v="Roberts"/>
    <s v="Schroedershire"/>
    <x v="0"/>
    <x v="4"/>
    <s v="Electronics"/>
    <n v="2"/>
    <n v="4836"/>
    <n v="9672"/>
    <x v="1"/>
    <x v="2"/>
    <x v="11"/>
    <s v="2025"/>
    <x v="181"/>
  </r>
  <r>
    <s v="ORD1182"/>
    <d v="2025-09-05T00:00:00"/>
    <s v="CUST714"/>
    <s v="Cindy"/>
    <s v="Murray"/>
    <s v="Michaelberg"/>
    <x v="2"/>
    <x v="6"/>
    <s v="Electronics"/>
    <n v="2"/>
    <n v="72401"/>
    <n v="144802"/>
    <x v="2"/>
    <x v="0"/>
    <x v="0"/>
    <s v="2025"/>
    <x v="182"/>
  </r>
  <r>
    <s v="ORD1183"/>
    <d v="2025-11-09T00:00:00"/>
    <s v="CUST937"/>
    <s v="Kevin"/>
    <s v="Whitaker"/>
    <s v="West Lindseytown"/>
    <x v="0"/>
    <x v="1"/>
    <s v="Electronics"/>
    <n v="5"/>
    <n v="18582"/>
    <n v="92910"/>
    <x v="1"/>
    <x v="1"/>
    <x v="11"/>
    <s v="2025"/>
    <x v="183"/>
  </r>
  <r>
    <s v="ORD1184"/>
    <d v="2025-08-10T00:00:00"/>
    <s v="CUST444"/>
    <s v="Keith"/>
    <s v="Mason"/>
    <s v="Stephensmouth"/>
    <x v="2"/>
    <x v="3"/>
    <s v="Electronics"/>
    <n v="1"/>
    <n v="33054"/>
    <n v="33054"/>
    <x v="2"/>
    <x v="1"/>
    <x v="4"/>
    <s v="2025"/>
    <x v="184"/>
  </r>
  <r>
    <s v="ORD1185"/>
    <d v="2025-08-31T00:00:00"/>
    <s v="CUST729"/>
    <s v="Emily"/>
    <s v="Adams"/>
    <s v="Watkinshaven"/>
    <x v="3"/>
    <x v="4"/>
    <s v="Electronics"/>
    <n v="3"/>
    <n v="71217"/>
    <n v="213651"/>
    <x v="2"/>
    <x v="2"/>
    <x v="4"/>
    <s v="2025"/>
    <x v="185"/>
  </r>
  <r>
    <s v="ORD1186"/>
    <d v="2026-04-21T00:00:00"/>
    <s v="CUST934"/>
    <s v="Steven"/>
    <s v="Olsen"/>
    <s v="Juliebury"/>
    <x v="0"/>
    <x v="1"/>
    <s v="Electronics"/>
    <n v="3"/>
    <n v="22090"/>
    <n v="66270"/>
    <x v="4"/>
    <x v="2"/>
    <x v="3"/>
    <s v="2026"/>
    <x v="186"/>
  </r>
  <r>
    <s v="ORD1187"/>
    <d v="2026-04-02T00:00:00"/>
    <s v="CUST585"/>
    <s v="John"/>
    <s v="Allison"/>
    <s v="Brownville"/>
    <x v="1"/>
    <x v="4"/>
    <s v="Electronics"/>
    <n v="4"/>
    <n v="73595"/>
    <n v="294380"/>
    <x v="0"/>
    <x v="0"/>
    <x v="3"/>
    <s v="2026"/>
    <x v="187"/>
  </r>
  <r>
    <s v="ORD1188"/>
    <d v="2025-07-17T00:00:00"/>
    <s v="CUST398"/>
    <s v="Andrea"/>
    <s v="Martinez"/>
    <s v="Taylormouth"/>
    <x v="1"/>
    <x v="4"/>
    <s v="Electronics"/>
    <n v="1"/>
    <n v="8272"/>
    <n v="8272"/>
    <x v="4"/>
    <x v="0"/>
    <x v="8"/>
    <s v="2025"/>
    <x v="188"/>
  </r>
  <r>
    <s v="ORD1189"/>
    <d v="2026-04-13T00:00:00"/>
    <s v="CUST135"/>
    <s v="James"/>
    <s v="Burton"/>
    <s v="Marybury"/>
    <x v="3"/>
    <x v="6"/>
    <s v="Electronics"/>
    <n v="2"/>
    <n v="13047"/>
    <n v="26094"/>
    <x v="3"/>
    <x v="2"/>
    <x v="3"/>
    <s v="2026"/>
    <x v="189"/>
  </r>
  <r>
    <s v="ORD1190"/>
    <d v="2025-05-27T00:00:00"/>
    <s v="CUST546"/>
    <s v="Katrina"/>
    <s v="Allison"/>
    <s v="New Austinberg"/>
    <x v="1"/>
    <x v="3"/>
    <s v="Electronics"/>
    <n v="2"/>
    <n v="69903"/>
    <n v="139806"/>
    <x v="0"/>
    <x v="1"/>
    <x v="1"/>
    <s v="2025"/>
    <x v="190"/>
  </r>
  <r>
    <s v="ORD1191"/>
    <d v="2025-07-06T00:00:00"/>
    <s v="CUST240"/>
    <s v="Jennifer"/>
    <s v="Cook"/>
    <s v="Port Matthewton"/>
    <x v="0"/>
    <x v="0"/>
    <s v="Electronics"/>
    <n v="2"/>
    <n v="42227"/>
    <n v="84454"/>
    <x v="2"/>
    <x v="1"/>
    <x v="8"/>
    <s v="2025"/>
    <x v="191"/>
  </r>
  <r>
    <s v="ORD1192"/>
    <d v="2025-07-19T00:00:00"/>
    <s v="CUST821"/>
    <s v="Dawn"/>
    <s v="Cox"/>
    <s v="North Veronica"/>
    <x v="3"/>
    <x v="6"/>
    <s v="Electronics"/>
    <n v="1"/>
    <n v="33048"/>
    <n v="33048"/>
    <x v="4"/>
    <x v="2"/>
    <x v="8"/>
    <s v="2025"/>
    <x v="192"/>
  </r>
  <r>
    <s v="ORD1193"/>
    <d v="2026-01-13T00:00:00"/>
    <s v="CUST277"/>
    <s v="Lori"/>
    <s v="Kirby"/>
    <s v="Lake Allison"/>
    <x v="1"/>
    <x v="0"/>
    <s v="Electronics"/>
    <n v="3"/>
    <n v="20309"/>
    <n v="60927"/>
    <x v="3"/>
    <x v="2"/>
    <x v="5"/>
    <s v="2026"/>
    <x v="193"/>
  </r>
  <r>
    <s v="ORD1194"/>
    <d v="2025-10-04T00:00:00"/>
    <s v="CUST680"/>
    <s v="Elizabeth"/>
    <s v="Summers"/>
    <s v="Port Tracy"/>
    <x v="3"/>
    <x v="5"/>
    <s v="Electronics"/>
    <n v="2"/>
    <n v="19645"/>
    <n v="39290"/>
    <x v="0"/>
    <x v="1"/>
    <x v="7"/>
    <s v="2025"/>
    <x v="194"/>
  </r>
  <r>
    <s v="ORD1195"/>
    <d v="2025-06-01T00:00:00"/>
    <s v="CUST398"/>
    <s v="Mark"/>
    <s v="Peterson"/>
    <s v="East Richardstad"/>
    <x v="0"/>
    <x v="2"/>
    <s v="Electronics"/>
    <n v="3"/>
    <n v="24991"/>
    <n v="74973"/>
    <x v="0"/>
    <x v="0"/>
    <x v="10"/>
    <s v="2025"/>
    <x v="195"/>
  </r>
  <r>
    <s v="ORD1196"/>
    <d v="2025-09-08T00:00:00"/>
    <s v="CUST343"/>
    <s v="Jonathan"/>
    <s v="Cole"/>
    <s v="Lisaport"/>
    <x v="3"/>
    <x v="2"/>
    <s v="Electronics"/>
    <n v="1"/>
    <n v="19769"/>
    <n v="19769"/>
    <x v="1"/>
    <x v="0"/>
    <x v="0"/>
    <s v="2025"/>
    <x v="196"/>
  </r>
  <r>
    <s v="ORD1197"/>
    <d v="2025-06-04T00:00:00"/>
    <s v="CUST860"/>
    <s v="Nicole"/>
    <s v="Smith"/>
    <s v="Port Moniqueburgh"/>
    <x v="0"/>
    <x v="4"/>
    <s v="Electronics"/>
    <n v="4"/>
    <n v="9983"/>
    <n v="39932"/>
    <x v="2"/>
    <x v="0"/>
    <x v="10"/>
    <s v="2025"/>
    <x v="197"/>
  </r>
  <r>
    <s v="ORD1198"/>
    <d v="2025-05-07T00:00:00"/>
    <s v="CUST351"/>
    <s v="Randy"/>
    <s v="Wagner"/>
    <s v="Jodichester"/>
    <x v="2"/>
    <x v="6"/>
    <s v="Electronics"/>
    <n v="4"/>
    <n v="56348"/>
    <n v="225392"/>
    <x v="3"/>
    <x v="2"/>
    <x v="1"/>
    <s v="2025"/>
    <x v="198"/>
  </r>
  <r>
    <s v="ORD1199"/>
    <d v="2025-05-14T00:00:00"/>
    <s v="CUST290"/>
    <s v="Patricia"/>
    <s v="Flores"/>
    <s v="New Denise"/>
    <x v="3"/>
    <x v="3"/>
    <s v="Electronics"/>
    <n v="3"/>
    <n v="64454"/>
    <n v="193362"/>
    <x v="0"/>
    <x v="2"/>
    <x v="1"/>
    <s v="2025"/>
    <x v="199"/>
  </r>
  <r>
    <s v="ORD1200"/>
    <d v="2026-02-14T00:00:00"/>
    <s v="CUST295"/>
    <s v="Christopher"/>
    <s v="Morales"/>
    <s v="Bonillahaven"/>
    <x v="0"/>
    <x v="0"/>
    <s v="Electronics"/>
    <n v="2"/>
    <n v="21304"/>
    <n v="42608"/>
    <x v="4"/>
    <x v="0"/>
    <x v="2"/>
    <s v="2026"/>
    <x v="200"/>
  </r>
  <r>
    <s v="ORD1201"/>
    <d v="2025-07-18T00:00:00"/>
    <s v="CUST341"/>
    <s v="Andrew"/>
    <s v="Miller"/>
    <s v="North Williamfort"/>
    <x v="3"/>
    <x v="3"/>
    <s v="Electronics"/>
    <n v="3"/>
    <n v="37836"/>
    <n v="113508"/>
    <x v="0"/>
    <x v="0"/>
    <x v="8"/>
    <s v="2025"/>
    <x v="201"/>
  </r>
  <r>
    <s v="ORD1202"/>
    <d v="2025-08-28T00:00:00"/>
    <s v="CUST334"/>
    <s v="Dennis"/>
    <s v="Bird"/>
    <s v="Lake Hannahchester"/>
    <x v="2"/>
    <x v="4"/>
    <s v="Electronics"/>
    <n v="4"/>
    <n v="43948"/>
    <n v="175792"/>
    <x v="2"/>
    <x v="1"/>
    <x v="4"/>
    <s v="2025"/>
    <x v="202"/>
  </r>
  <r>
    <s v="ORD1203"/>
    <d v="2025-08-03T00:00:00"/>
    <s v="CUST742"/>
    <s v="Janet"/>
    <s v="Cooper"/>
    <s v="Lesliemouth"/>
    <x v="1"/>
    <x v="4"/>
    <s v="Electronics"/>
    <n v="3"/>
    <n v="41861"/>
    <n v="125583"/>
    <x v="2"/>
    <x v="1"/>
    <x v="4"/>
    <s v="2025"/>
    <x v="203"/>
  </r>
  <r>
    <s v="ORD1204"/>
    <d v="2026-04-01T00:00:00"/>
    <s v="CUST623"/>
    <s v="Scott"/>
    <s v="Petersen"/>
    <s v="Cohenbury"/>
    <x v="0"/>
    <x v="4"/>
    <s v="Electronics"/>
    <n v="4"/>
    <n v="22396"/>
    <n v="89584"/>
    <x v="4"/>
    <x v="1"/>
    <x v="3"/>
    <s v="2026"/>
    <x v="204"/>
  </r>
  <r>
    <s v="ORD1205"/>
    <d v="2025-07-21T00:00:00"/>
    <s v="CUST238"/>
    <s v="Joshua"/>
    <s v="Kennedy"/>
    <s v="East Andrewstad"/>
    <x v="3"/>
    <x v="1"/>
    <s v="Electronics"/>
    <n v="4"/>
    <n v="25324"/>
    <n v="101296"/>
    <x v="2"/>
    <x v="1"/>
    <x v="8"/>
    <s v="2025"/>
    <x v="205"/>
  </r>
  <r>
    <s v="ORD1206"/>
    <d v="2025-10-17T00:00:00"/>
    <s v="CUST528"/>
    <s v="Mark"/>
    <s v="Hardin"/>
    <s v="Millerside"/>
    <x v="0"/>
    <x v="3"/>
    <s v="Electronics"/>
    <n v="3"/>
    <n v="2718"/>
    <n v="8154"/>
    <x v="2"/>
    <x v="2"/>
    <x v="7"/>
    <s v="2025"/>
    <x v="206"/>
  </r>
  <r>
    <s v="ORD1207"/>
    <d v="2025-08-13T00:00:00"/>
    <s v="CUST450"/>
    <s v="Katie"/>
    <s v="Brown"/>
    <s v="Beckview"/>
    <x v="0"/>
    <x v="1"/>
    <s v="Electronics"/>
    <n v="4"/>
    <n v="44743"/>
    <n v="178972"/>
    <x v="2"/>
    <x v="2"/>
    <x v="4"/>
    <s v="2025"/>
    <x v="207"/>
  </r>
  <r>
    <s v="ORD1208"/>
    <d v="2026-01-15T00:00:00"/>
    <s v="CUST228"/>
    <s v="Jose Watkins"/>
    <s v="DVM"/>
    <s v="South David"/>
    <x v="2"/>
    <x v="3"/>
    <s v="Electronics"/>
    <n v="3"/>
    <n v="61930"/>
    <n v="185790"/>
    <x v="0"/>
    <x v="2"/>
    <x v="5"/>
    <s v="2026"/>
    <x v="208"/>
  </r>
  <r>
    <s v="ORD1209"/>
    <d v="2025-09-29T00:00:00"/>
    <s v="CUST598"/>
    <s v="David"/>
    <s v="Harrison"/>
    <s v="Andradefort"/>
    <x v="1"/>
    <x v="4"/>
    <s v="Electronics"/>
    <n v="3"/>
    <n v="3318"/>
    <n v="9954"/>
    <x v="3"/>
    <x v="1"/>
    <x v="0"/>
    <s v="2025"/>
    <x v="209"/>
  </r>
  <r>
    <s v="ORD1210"/>
    <d v="2026-03-11T00:00:00"/>
    <s v="CUST274"/>
    <s v="Brian"/>
    <s v="Wang"/>
    <s v="Browntown"/>
    <x v="1"/>
    <x v="3"/>
    <s v="Electronics"/>
    <n v="2"/>
    <n v="39429"/>
    <n v="78858"/>
    <x v="0"/>
    <x v="2"/>
    <x v="9"/>
    <s v="2026"/>
    <x v="210"/>
  </r>
  <r>
    <s v="ORD1211"/>
    <d v="2025-10-04T00:00:00"/>
    <s v="CUST633"/>
    <s v="Megan"/>
    <s v="Johnson"/>
    <s v="Tamaraville"/>
    <x v="2"/>
    <x v="3"/>
    <s v="Electronics"/>
    <n v="1"/>
    <n v="53051"/>
    <n v="53051"/>
    <x v="0"/>
    <x v="1"/>
    <x v="7"/>
    <s v="2025"/>
    <x v="211"/>
  </r>
  <r>
    <s v="ORD1212"/>
    <d v="2026-03-03T00:00:00"/>
    <s v="CUST267"/>
    <s v="William"/>
    <s v="Ferguson"/>
    <s v="Oconnorstad"/>
    <x v="2"/>
    <x v="0"/>
    <s v="Electronics"/>
    <n v="5"/>
    <n v="10501"/>
    <n v="52505"/>
    <x v="1"/>
    <x v="1"/>
    <x v="9"/>
    <s v="2026"/>
    <x v="212"/>
  </r>
  <r>
    <s v="ORD1213"/>
    <d v="2025-09-17T00:00:00"/>
    <s v="CUST261"/>
    <s v="Travis Prince"/>
    <s v="MD"/>
    <s v="Port Sandrahaven"/>
    <x v="0"/>
    <x v="4"/>
    <s v="Electronics"/>
    <n v="1"/>
    <n v="61375"/>
    <n v="61375"/>
    <x v="0"/>
    <x v="0"/>
    <x v="0"/>
    <s v="2025"/>
    <x v="213"/>
  </r>
  <r>
    <s v="ORD1214"/>
    <d v="2026-01-10T00:00:00"/>
    <s v="CUST891"/>
    <s v="Eric"/>
    <s v="Lowe"/>
    <s v="New Alanshire"/>
    <x v="1"/>
    <x v="1"/>
    <s v="Electronics"/>
    <n v="2"/>
    <n v="34953"/>
    <n v="69906"/>
    <x v="4"/>
    <x v="2"/>
    <x v="5"/>
    <s v="2026"/>
    <x v="214"/>
  </r>
  <r>
    <s v="ORD1215"/>
    <d v="2026-04-26T00:00:00"/>
    <s v="CUST855"/>
    <s v="Rebecca"/>
    <s v="Gibson"/>
    <s v="South Noahstad"/>
    <x v="0"/>
    <x v="3"/>
    <s v="Electronics"/>
    <n v="1"/>
    <n v="32395"/>
    <n v="32395"/>
    <x v="2"/>
    <x v="0"/>
    <x v="3"/>
    <s v="2026"/>
    <x v="215"/>
  </r>
  <r>
    <s v="ORD1216"/>
    <d v="2025-07-26T00:00:00"/>
    <s v="CUST432"/>
    <s v="Kelsey"/>
    <s v="Allen"/>
    <s v="South Monique"/>
    <x v="3"/>
    <x v="5"/>
    <s v="Electronics"/>
    <n v="3"/>
    <n v="27004"/>
    <n v="81012"/>
    <x v="3"/>
    <x v="1"/>
    <x v="8"/>
    <s v="2025"/>
    <x v="216"/>
  </r>
  <r>
    <s v="ORD1217"/>
    <d v="2025-12-21T00:00:00"/>
    <s v="CUST741"/>
    <s v="Stacy"/>
    <s v="Donaldson"/>
    <s v="New Micheleville"/>
    <x v="3"/>
    <x v="6"/>
    <s v="Electronics"/>
    <n v="5"/>
    <n v="33396"/>
    <n v="166980"/>
    <x v="0"/>
    <x v="2"/>
    <x v="6"/>
    <s v="2025"/>
    <x v="217"/>
  </r>
  <r>
    <s v="ORD1218"/>
    <d v="2025-11-15T00:00:00"/>
    <s v="CUST664"/>
    <s v="Laura"/>
    <s v="Allison"/>
    <s v="West Nicholas"/>
    <x v="0"/>
    <x v="0"/>
    <s v="Electronics"/>
    <n v="4"/>
    <n v="34525"/>
    <n v="138100"/>
    <x v="1"/>
    <x v="1"/>
    <x v="11"/>
    <s v="2025"/>
    <x v="218"/>
  </r>
  <r>
    <s v="ORD1219"/>
    <d v="2026-03-12T00:00:00"/>
    <s v="CUST999"/>
    <s v="Pamela"/>
    <s v="Hughes"/>
    <s v="Andersenville"/>
    <x v="0"/>
    <x v="6"/>
    <s v="Electronics"/>
    <n v="1"/>
    <n v="76105"/>
    <n v="76105"/>
    <x v="0"/>
    <x v="0"/>
    <x v="9"/>
    <s v="2026"/>
    <x v="219"/>
  </r>
  <r>
    <s v="ORD1220"/>
    <d v="2026-01-02T00:00:00"/>
    <s v="CUST111"/>
    <s v="Kimberly"/>
    <s v="Velez"/>
    <s v="West Cynthia"/>
    <x v="0"/>
    <x v="5"/>
    <s v="Electronics"/>
    <n v="4"/>
    <n v="65587"/>
    <n v="262348"/>
    <x v="0"/>
    <x v="1"/>
    <x v="5"/>
    <s v="2026"/>
    <x v="220"/>
  </r>
  <r>
    <s v="ORD1221"/>
    <d v="2026-03-10T00:00:00"/>
    <s v="CUST957"/>
    <s v="William"/>
    <s v="Nichols"/>
    <s v="Cookland"/>
    <x v="3"/>
    <x v="4"/>
    <s v="Electronics"/>
    <n v="2"/>
    <n v="49153"/>
    <n v="98306"/>
    <x v="1"/>
    <x v="0"/>
    <x v="9"/>
    <s v="2026"/>
    <x v="221"/>
  </r>
  <r>
    <s v="ORD1222"/>
    <d v="2025-08-29T00:00:00"/>
    <s v="CUST788"/>
    <s v="Robert"/>
    <s v="Ray"/>
    <s v="Lewishaven"/>
    <x v="3"/>
    <x v="6"/>
    <s v="Electronics"/>
    <n v="5"/>
    <n v="58143"/>
    <n v="290715"/>
    <x v="1"/>
    <x v="0"/>
    <x v="4"/>
    <s v="2025"/>
    <x v="222"/>
  </r>
  <r>
    <s v="ORD1223"/>
    <d v="2026-03-18T00:00:00"/>
    <s v="CUST449"/>
    <s v="Lori"/>
    <s v="Davis"/>
    <s v="Mccormicktown"/>
    <x v="0"/>
    <x v="2"/>
    <s v="Electronics"/>
    <n v="1"/>
    <n v="73125"/>
    <n v="73125"/>
    <x v="1"/>
    <x v="2"/>
    <x v="9"/>
    <s v="2026"/>
    <x v="223"/>
  </r>
  <r>
    <s v="ORD1224"/>
    <d v="2026-02-07T00:00:00"/>
    <s v="CUST517"/>
    <s v="Dr. Michele Roberts"/>
    <s v="DDS"/>
    <s v="North Rebeccaville"/>
    <x v="1"/>
    <x v="1"/>
    <s v="Electronics"/>
    <n v="3"/>
    <n v="26482"/>
    <n v="79446"/>
    <x v="1"/>
    <x v="0"/>
    <x v="2"/>
    <s v="2026"/>
    <x v="224"/>
  </r>
  <r>
    <s v="ORD1225"/>
    <d v="2025-09-07T00:00:00"/>
    <s v="CUST991"/>
    <s v="Angel"/>
    <s v="Thomas"/>
    <s v="Jonland"/>
    <x v="1"/>
    <x v="2"/>
    <s v="Electronics"/>
    <n v="3"/>
    <n v="56980"/>
    <n v="170940"/>
    <x v="3"/>
    <x v="0"/>
    <x v="0"/>
    <s v="2025"/>
    <x v="225"/>
  </r>
  <r>
    <s v="ORD1226"/>
    <d v="2025-08-28T00:00:00"/>
    <s v="CUST373"/>
    <s v="Justin"/>
    <s v="Webb"/>
    <s v="Newtonmouth"/>
    <x v="3"/>
    <x v="0"/>
    <s v="Electronics"/>
    <n v="3"/>
    <n v="29433"/>
    <n v="88299"/>
    <x v="0"/>
    <x v="1"/>
    <x v="4"/>
    <s v="2025"/>
    <x v="226"/>
  </r>
  <r>
    <s v="ORD1227"/>
    <d v="2025-07-15T00:00:00"/>
    <s v="CUST300"/>
    <s v="Linda"/>
    <s v="Garcia"/>
    <s v="Smithton"/>
    <x v="1"/>
    <x v="2"/>
    <s v="Electronics"/>
    <n v="1"/>
    <n v="71723"/>
    <n v="71723"/>
    <x v="1"/>
    <x v="1"/>
    <x v="8"/>
    <s v="2025"/>
    <x v="227"/>
  </r>
  <r>
    <s v="ORD1228"/>
    <d v="2025-12-09T00:00:00"/>
    <s v="CUST504"/>
    <s v="Megan"/>
    <s v="Fuller"/>
    <s v="Maryberg"/>
    <x v="2"/>
    <x v="4"/>
    <s v="Electronics"/>
    <n v="4"/>
    <n v="5279"/>
    <n v="21116"/>
    <x v="1"/>
    <x v="0"/>
    <x v="6"/>
    <s v="2025"/>
    <x v="228"/>
  </r>
  <r>
    <s v="ORD1229"/>
    <d v="2026-04-08T00:00:00"/>
    <s v="CUST535"/>
    <s v="Mrs. Diane"/>
    <s v="Thomas"/>
    <s v="Harristown"/>
    <x v="1"/>
    <x v="3"/>
    <s v="Electronics"/>
    <n v="2"/>
    <n v="6923"/>
    <n v="13846"/>
    <x v="3"/>
    <x v="1"/>
    <x v="3"/>
    <s v="2026"/>
    <x v="229"/>
  </r>
  <r>
    <s v="ORD1230"/>
    <d v="2025-12-17T00:00:00"/>
    <s v="CUST864"/>
    <s v="Brian"/>
    <s v="Martinez"/>
    <s v="Smithview"/>
    <x v="0"/>
    <x v="1"/>
    <s v="Electronics"/>
    <n v="4"/>
    <n v="9637"/>
    <n v="38548"/>
    <x v="0"/>
    <x v="1"/>
    <x v="6"/>
    <s v="2025"/>
    <x v="230"/>
  </r>
  <r>
    <s v="ORD1231"/>
    <d v="2025-11-23T00:00:00"/>
    <s v="CUST822"/>
    <s v="Cheryl"/>
    <s v="Hill"/>
    <s v="South Rachelchester"/>
    <x v="0"/>
    <x v="5"/>
    <s v="Electronics"/>
    <n v="3"/>
    <n v="34207"/>
    <n v="102621"/>
    <x v="3"/>
    <x v="2"/>
    <x v="11"/>
    <s v="2025"/>
    <x v="231"/>
  </r>
  <r>
    <s v="ORD1232"/>
    <d v="2025-07-21T00:00:00"/>
    <s v="CUST114"/>
    <s v="Betty"/>
    <s v="Evans"/>
    <s v="Simmonshaven"/>
    <x v="0"/>
    <x v="6"/>
    <s v="Electronics"/>
    <n v="5"/>
    <n v="1135"/>
    <n v="5675"/>
    <x v="3"/>
    <x v="0"/>
    <x v="8"/>
    <s v="2025"/>
    <x v="232"/>
  </r>
  <r>
    <s v="ORD1233"/>
    <d v="2025-06-29T00:00:00"/>
    <s v="CUST748"/>
    <s v="John Brown"/>
    <s v="PhD"/>
    <s v="East Janet"/>
    <x v="2"/>
    <x v="5"/>
    <s v="Electronics"/>
    <n v="1"/>
    <n v="66504"/>
    <n v="66504"/>
    <x v="0"/>
    <x v="1"/>
    <x v="10"/>
    <s v="2025"/>
    <x v="233"/>
  </r>
  <r>
    <s v="ORD1234"/>
    <d v="2025-09-13T00:00:00"/>
    <s v="CUST177"/>
    <s v="Leslie"/>
    <s v="Berger"/>
    <s v="Matthewburgh"/>
    <x v="2"/>
    <x v="4"/>
    <s v="Electronics"/>
    <n v="2"/>
    <n v="66180"/>
    <n v="132360"/>
    <x v="4"/>
    <x v="1"/>
    <x v="0"/>
    <s v="2025"/>
    <x v="234"/>
  </r>
  <r>
    <s v="ORD1235"/>
    <d v="2025-12-28T00:00:00"/>
    <s v="CUST287"/>
    <s v="Brandy"/>
    <s v="Singh"/>
    <s v="Andrewview"/>
    <x v="0"/>
    <x v="0"/>
    <s v="Electronics"/>
    <n v="1"/>
    <n v="35548"/>
    <n v="35548"/>
    <x v="2"/>
    <x v="2"/>
    <x v="6"/>
    <s v="2025"/>
    <x v="235"/>
  </r>
  <r>
    <s v="ORD1236"/>
    <d v="2025-05-08T00:00:00"/>
    <s v="CUST674"/>
    <s v="Jennifer"/>
    <s v="Dickson"/>
    <s v="Rodriguezstad"/>
    <x v="2"/>
    <x v="5"/>
    <s v="Electronics"/>
    <n v="3"/>
    <n v="47303"/>
    <n v="141909"/>
    <x v="1"/>
    <x v="2"/>
    <x v="1"/>
    <s v="2025"/>
    <x v="236"/>
  </r>
  <r>
    <s v="ORD1237"/>
    <d v="2026-03-18T00:00:00"/>
    <s v="CUST489"/>
    <s v="Drew"/>
    <s v="Singleton"/>
    <s v="Staffordburgh"/>
    <x v="2"/>
    <x v="0"/>
    <s v="Electronics"/>
    <n v="1"/>
    <n v="54068"/>
    <n v="54068"/>
    <x v="4"/>
    <x v="1"/>
    <x v="9"/>
    <s v="2026"/>
    <x v="237"/>
  </r>
  <r>
    <s v="ORD1238"/>
    <d v="2026-03-25T00:00:00"/>
    <s v="CUST711"/>
    <s v="Brandon"/>
    <s v="Combs"/>
    <s v="Ericton"/>
    <x v="0"/>
    <x v="0"/>
    <s v="Electronics"/>
    <n v="3"/>
    <n v="75992"/>
    <n v="227976"/>
    <x v="3"/>
    <x v="0"/>
    <x v="9"/>
    <s v="2026"/>
    <x v="238"/>
  </r>
  <r>
    <s v="ORD1239"/>
    <d v="2026-01-29T00:00:00"/>
    <s v="CUST643"/>
    <s v="Jennifer"/>
    <s v="Gomez"/>
    <s v="Watkinschester"/>
    <x v="2"/>
    <x v="1"/>
    <s v="Electronics"/>
    <n v="2"/>
    <n v="34076"/>
    <n v="68152"/>
    <x v="0"/>
    <x v="2"/>
    <x v="5"/>
    <s v="2026"/>
    <x v="239"/>
  </r>
  <r>
    <s v="ORD1240"/>
    <d v="2026-01-11T00:00:00"/>
    <s v="CUST485"/>
    <s v="Katelyn"/>
    <s v="Miles"/>
    <s v="Rossside"/>
    <x v="0"/>
    <x v="3"/>
    <s v="Electronics"/>
    <n v="2"/>
    <n v="62683"/>
    <n v="125366"/>
    <x v="1"/>
    <x v="0"/>
    <x v="5"/>
    <s v="2026"/>
    <x v="240"/>
  </r>
  <r>
    <s v="ORD1241"/>
    <d v="2026-01-09T00:00:00"/>
    <s v="CUST258"/>
    <s v="Nathan"/>
    <s v="Wang"/>
    <s v="Thompsonhaven"/>
    <x v="3"/>
    <x v="2"/>
    <s v="Electronics"/>
    <n v="2"/>
    <n v="1266"/>
    <n v="2532"/>
    <x v="0"/>
    <x v="2"/>
    <x v="5"/>
    <s v="2026"/>
    <x v="241"/>
  </r>
  <r>
    <s v="ORD1242"/>
    <d v="2026-01-07T00:00:00"/>
    <s v="CUST153"/>
    <s v="Chad"/>
    <s v="Smith"/>
    <s v="Cuevasborough"/>
    <x v="0"/>
    <x v="4"/>
    <s v="Electronics"/>
    <n v="4"/>
    <n v="34891"/>
    <n v="139564"/>
    <x v="0"/>
    <x v="1"/>
    <x v="5"/>
    <s v="2026"/>
    <x v="242"/>
  </r>
  <r>
    <s v="ORD1243"/>
    <d v="2025-11-06T00:00:00"/>
    <s v="CUST377"/>
    <s v="Christine"/>
    <s v="Harvey"/>
    <s v="Taylorhaven"/>
    <x v="0"/>
    <x v="2"/>
    <s v="Electronics"/>
    <n v="4"/>
    <n v="67969"/>
    <n v="271876"/>
    <x v="1"/>
    <x v="1"/>
    <x v="11"/>
    <s v="2025"/>
    <x v="243"/>
  </r>
  <r>
    <s v="ORD1244"/>
    <d v="2026-01-04T00:00:00"/>
    <s v="CUST523"/>
    <s v="Brian"/>
    <s v="Davis"/>
    <s v="Lake Stevenfurt"/>
    <x v="3"/>
    <x v="5"/>
    <s v="Electronics"/>
    <n v="5"/>
    <n v="58944"/>
    <n v="294720"/>
    <x v="2"/>
    <x v="0"/>
    <x v="5"/>
    <s v="2026"/>
    <x v="244"/>
  </r>
  <r>
    <s v="ORD1245"/>
    <d v="2025-06-17T00:00:00"/>
    <s v="CUST858"/>
    <s v="Maria"/>
    <s v="Jacobs"/>
    <s v="Port Franciscofort"/>
    <x v="2"/>
    <x v="6"/>
    <s v="Electronics"/>
    <n v="3"/>
    <n v="55059"/>
    <n v="165177"/>
    <x v="3"/>
    <x v="2"/>
    <x v="10"/>
    <s v="2025"/>
    <x v="245"/>
  </r>
  <r>
    <s v="ORD1246"/>
    <d v="2026-02-04T00:00:00"/>
    <s v="CUST795"/>
    <s v="Abigail"/>
    <s v="Hunter"/>
    <s v="South Johnchester"/>
    <x v="0"/>
    <x v="1"/>
    <s v="Electronics"/>
    <n v="3"/>
    <n v="61622"/>
    <n v="184866"/>
    <x v="4"/>
    <x v="0"/>
    <x v="2"/>
    <s v="2026"/>
    <x v="246"/>
  </r>
  <r>
    <s v="ORD1247"/>
    <d v="2026-03-05T00:00:00"/>
    <s v="CUST969"/>
    <s v="Aaron"/>
    <s v="Bird"/>
    <s v="North Dawnton"/>
    <x v="1"/>
    <x v="6"/>
    <s v="Electronics"/>
    <n v="1"/>
    <n v="36618"/>
    <n v="36618"/>
    <x v="4"/>
    <x v="2"/>
    <x v="9"/>
    <s v="2026"/>
    <x v="247"/>
  </r>
  <r>
    <s v="ORD1248"/>
    <d v="2025-08-18T00:00:00"/>
    <s v="CUST995"/>
    <s v="Eric"/>
    <s v="Quinn"/>
    <s v="Christopherfurt"/>
    <x v="3"/>
    <x v="2"/>
    <s v="Electronics"/>
    <n v="1"/>
    <n v="4889"/>
    <n v="4889"/>
    <x v="3"/>
    <x v="0"/>
    <x v="4"/>
    <s v="2025"/>
    <x v="248"/>
  </r>
  <r>
    <s v="ORD1249"/>
    <d v="2026-02-20T00:00:00"/>
    <s v="CUST139"/>
    <s v="Donna"/>
    <s v="Gomez"/>
    <s v="West Carriebury"/>
    <x v="0"/>
    <x v="2"/>
    <s v="Electronics"/>
    <n v="2"/>
    <n v="16275"/>
    <n v="32550"/>
    <x v="4"/>
    <x v="2"/>
    <x v="2"/>
    <s v="2026"/>
    <x v="249"/>
  </r>
  <r>
    <s v="ORD1250"/>
    <d v="2025-09-07T00:00:00"/>
    <s v="CUST355"/>
    <s v="Heather"/>
    <s v="Powell"/>
    <s v="Jillton"/>
    <x v="3"/>
    <x v="1"/>
    <s v="Electronics"/>
    <n v="2"/>
    <n v="30663"/>
    <n v="61326"/>
    <x v="3"/>
    <x v="0"/>
    <x v="0"/>
    <s v="2025"/>
    <x v="250"/>
  </r>
  <r>
    <s v="ORD1251"/>
    <d v="2025-06-15T00:00:00"/>
    <s v="CUST471"/>
    <s v="Richard"/>
    <s v="Young"/>
    <s v="East Ryan"/>
    <x v="1"/>
    <x v="3"/>
    <s v="Electronics"/>
    <n v="5"/>
    <n v="17911"/>
    <n v="89555"/>
    <x v="4"/>
    <x v="1"/>
    <x v="10"/>
    <s v="2025"/>
    <x v="251"/>
  </r>
  <r>
    <s v="ORD1252"/>
    <d v="2026-01-17T00:00:00"/>
    <s v="CUST928"/>
    <s v="Lauren"/>
    <s v="Rosales"/>
    <s v="Hannahburgh"/>
    <x v="2"/>
    <x v="3"/>
    <s v="Electronics"/>
    <n v="2"/>
    <n v="29581"/>
    <n v="59162"/>
    <x v="0"/>
    <x v="1"/>
    <x v="5"/>
    <s v="2026"/>
    <x v="252"/>
  </r>
  <r>
    <s v="ORD1253"/>
    <d v="2025-12-09T00:00:00"/>
    <s v="CUST595"/>
    <s v="Michelle"/>
    <s v="Smith"/>
    <s v="North Andrew"/>
    <x v="0"/>
    <x v="4"/>
    <s v="Electronics"/>
    <n v="2"/>
    <n v="56603"/>
    <n v="113206"/>
    <x v="2"/>
    <x v="0"/>
    <x v="6"/>
    <s v="2025"/>
    <x v="253"/>
  </r>
  <r>
    <s v="ORD1254"/>
    <d v="2025-12-13T00:00:00"/>
    <s v="CUST347"/>
    <s v="Peter"/>
    <s v="Lloyd"/>
    <s v="South Jamesview"/>
    <x v="2"/>
    <x v="3"/>
    <s v="Electronics"/>
    <n v="5"/>
    <n v="38879"/>
    <n v="194395"/>
    <x v="0"/>
    <x v="1"/>
    <x v="6"/>
    <s v="2025"/>
    <x v="254"/>
  </r>
  <r>
    <s v="ORD1255"/>
    <d v="2025-10-01T00:00:00"/>
    <s v="CUST927"/>
    <s v="Robert"/>
    <s v="Nelson"/>
    <s v="Darrenmouth"/>
    <x v="1"/>
    <x v="1"/>
    <s v="Electronics"/>
    <n v="4"/>
    <n v="55364"/>
    <n v="221456"/>
    <x v="0"/>
    <x v="2"/>
    <x v="7"/>
    <s v="2025"/>
    <x v="255"/>
  </r>
  <r>
    <s v="ORD1256"/>
    <d v="2025-10-21T00:00:00"/>
    <s v="CUST663"/>
    <s v="Tara"/>
    <s v="Huynh"/>
    <s v="West Daniel"/>
    <x v="1"/>
    <x v="6"/>
    <s v="Electronics"/>
    <n v="4"/>
    <n v="62313"/>
    <n v="249252"/>
    <x v="0"/>
    <x v="1"/>
    <x v="7"/>
    <s v="2025"/>
    <x v="256"/>
  </r>
  <r>
    <s v="ORD1257"/>
    <d v="2025-07-06T00:00:00"/>
    <s v="CUST793"/>
    <s v="Teresa"/>
    <s v="Schwartz"/>
    <s v="North Tammymouth"/>
    <x v="3"/>
    <x v="2"/>
    <s v="Electronics"/>
    <n v="4"/>
    <n v="53140"/>
    <n v="212560"/>
    <x v="0"/>
    <x v="1"/>
    <x v="8"/>
    <s v="2025"/>
    <x v="257"/>
  </r>
  <r>
    <s v="ORD1258"/>
    <d v="2026-02-23T00:00:00"/>
    <s v="CUST357"/>
    <s v="Andrew"/>
    <s v="Rodriguez"/>
    <s v="East Ryan"/>
    <x v="0"/>
    <x v="6"/>
    <s v="Electronics"/>
    <n v="4"/>
    <n v="36064"/>
    <n v="144256"/>
    <x v="4"/>
    <x v="0"/>
    <x v="2"/>
    <s v="2026"/>
    <x v="258"/>
  </r>
  <r>
    <s v="ORD1259"/>
    <d v="2025-08-26T00:00:00"/>
    <s v="CUST651"/>
    <s v="Shannon"/>
    <s v="Powell"/>
    <s v="Wallaceshire"/>
    <x v="0"/>
    <x v="2"/>
    <s v="Electronics"/>
    <n v="4"/>
    <n v="52768"/>
    <n v="211072"/>
    <x v="0"/>
    <x v="0"/>
    <x v="4"/>
    <s v="2025"/>
    <x v="259"/>
  </r>
  <r>
    <s v="ORD1260"/>
    <d v="2026-02-03T00:00:00"/>
    <s v="CUST842"/>
    <s v="Shannon"/>
    <s v="Smith"/>
    <s v="North Jennifer"/>
    <x v="2"/>
    <x v="6"/>
    <s v="Electronics"/>
    <n v="4"/>
    <n v="10659"/>
    <n v="42636"/>
    <x v="4"/>
    <x v="2"/>
    <x v="2"/>
    <s v="2026"/>
    <x v="260"/>
  </r>
  <r>
    <s v="ORD1261"/>
    <d v="2025-07-14T00:00:00"/>
    <s v="CUST726"/>
    <s v="Kevin"/>
    <s v="Brown"/>
    <s v="Hardyhaven"/>
    <x v="3"/>
    <x v="5"/>
    <s v="Electronics"/>
    <n v="3"/>
    <n v="27638"/>
    <n v="82914"/>
    <x v="4"/>
    <x v="1"/>
    <x v="8"/>
    <s v="2025"/>
    <x v="261"/>
  </r>
  <r>
    <s v="ORD1262"/>
    <d v="2025-11-12T00:00:00"/>
    <s v="CUST890"/>
    <s v="Brian"/>
    <s v="Patterson"/>
    <s v="New Veronica"/>
    <x v="2"/>
    <x v="1"/>
    <s v="Electronics"/>
    <n v="2"/>
    <n v="48122"/>
    <n v="96244"/>
    <x v="4"/>
    <x v="0"/>
    <x v="11"/>
    <s v="2025"/>
    <x v="262"/>
  </r>
  <r>
    <s v="ORD1263"/>
    <d v="2026-03-23T00:00:00"/>
    <s v="CUST682"/>
    <s v="Crystal"/>
    <s v="Mcdonald"/>
    <s v="New Justin"/>
    <x v="0"/>
    <x v="1"/>
    <s v="Electronics"/>
    <n v="5"/>
    <n v="67055"/>
    <n v="335275"/>
    <x v="0"/>
    <x v="2"/>
    <x v="9"/>
    <s v="2026"/>
    <x v="263"/>
  </r>
  <r>
    <s v="ORD1264"/>
    <d v="2026-02-02T00:00:00"/>
    <s v="CUST805"/>
    <s v="Shelley"/>
    <s v="Gutierrez"/>
    <s v="Lake Mitchellhaven"/>
    <x v="0"/>
    <x v="0"/>
    <s v="Electronics"/>
    <n v="2"/>
    <n v="33093"/>
    <n v="66186"/>
    <x v="2"/>
    <x v="1"/>
    <x v="2"/>
    <s v="2026"/>
    <x v="264"/>
  </r>
  <r>
    <s v="ORD1265"/>
    <d v="2026-03-18T00:00:00"/>
    <s v="CUST600"/>
    <s v="Leroy"/>
    <s v="Yu"/>
    <s v="South Williamton"/>
    <x v="3"/>
    <x v="6"/>
    <s v="Electronics"/>
    <n v="3"/>
    <n v="32839"/>
    <n v="98517"/>
    <x v="2"/>
    <x v="1"/>
    <x v="9"/>
    <s v="2026"/>
    <x v="265"/>
  </r>
  <r>
    <s v="ORD1266"/>
    <d v="2025-12-20T00:00:00"/>
    <s v="CUST859"/>
    <s v="Tara"/>
    <s v="Nelson"/>
    <s v="Dixonmouth"/>
    <x v="2"/>
    <x v="2"/>
    <s v="Electronics"/>
    <n v="3"/>
    <n v="30805"/>
    <n v="92415"/>
    <x v="4"/>
    <x v="0"/>
    <x v="6"/>
    <s v="2025"/>
    <x v="266"/>
  </r>
  <r>
    <s v="ORD1267"/>
    <d v="2025-09-21T00:00:00"/>
    <s v="CUST965"/>
    <s v="Lisa"/>
    <s v="Cruz"/>
    <s v="Lake Georgeport"/>
    <x v="2"/>
    <x v="3"/>
    <s v="Electronics"/>
    <n v="3"/>
    <n v="45197"/>
    <n v="135591"/>
    <x v="0"/>
    <x v="0"/>
    <x v="0"/>
    <s v="2025"/>
    <x v="267"/>
  </r>
  <r>
    <s v="ORD1268"/>
    <d v="2025-07-25T00:00:00"/>
    <s v="CUST791"/>
    <s v="Mary"/>
    <s v="Burns"/>
    <s v="Harrytown"/>
    <x v="0"/>
    <x v="5"/>
    <s v="Electronics"/>
    <n v="2"/>
    <n v="43396"/>
    <n v="86792"/>
    <x v="0"/>
    <x v="1"/>
    <x v="8"/>
    <s v="2025"/>
    <x v="268"/>
  </r>
  <r>
    <s v="ORD1269"/>
    <d v="2026-01-31T00:00:00"/>
    <s v="CUST468"/>
    <s v="Andrew"/>
    <s v="Peters"/>
    <s v="Amandashire"/>
    <x v="3"/>
    <x v="0"/>
    <s v="Electronics"/>
    <n v="3"/>
    <n v="37283"/>
    <n v="111849"/>
    <x v="2"/>
    <x v="1"/>
    <x v="5"/>
    <s v="2026"/>
    <x v="269"/>
  </r>
  <r>
    <s v="ORD1270"/>
    <d v="2025-05-10T00:00:00"/>
    <s v="CUST937"/>
    <s v="Elizabeth"/>
    <s v="Jordan"/>
    <s v="Shepardview"/>
    <x v="0"/>
    <x v="6"/>
    <s v="Electronics"/>
    <n v="1"/>
    <n v="27022"/>
    <n v="27022"/>
    <x v="3"/>
    <x v="2"/>
    <x v="1"/>
    <s v="2025"/>
    <x v="270"/>
  </r>
  <r>
    <s v="ORD1271"/>
    <d v="2025-09-17T00:00:00"/>
    <s v="CUST137"/>
    <s v="Deborah"/>
    <s v="Matthews"/>
    <s v="Braymouth"/>
    <x v="1"/>
    <x v="3"/>
    <s v="Electronics"/>
    <n v="2"/>
    <n v="28334"/>
    <n v="56668"/>
    <x v="4"/>
    <x v="0"/>
    <x v="0"/>
    <s v="2025"/>
    <x v="271"/>
  </r>
  <r>
    <s v="ORD1272"/>
    <d v="2026-03-10T00:00:00"/>
    <s v="CUST418"/>
    <s v="Christy"/>
    <s v="Smith"/>
    <s v="Andremouth"/>
    <x v="3"/>
    <x v="6"/>
    <s v="Electronics"/>
    <n v="2"/>
    <n v="16444"/>
    <n v="32888"/>
    <x v="0"/>
    <x v="1"/>
    <x v="9"/>
    <s v="2026"/>
    <x v="272"/>
  </r>
  <r>
    <s v="ORD1273"/>
    <d v="2025-09-09T00:00:00"/>
    <s v="CUST132"/>
    <s v="John"/>
    <s v="Owens"/>
    <s v="Gregoryview"/>
    <x v="2"/>
    <x v="6"/>
    <s v="Electronics"/>
    <n v="2"/>
    <n v="27390"/>
    <n v="54780"/>
    <x v="0"/>
    <x v="2"/>
    <x v="0"/>
    <s v="2025"/>
    <x v="273"/>
  </r>
  <r>
    <s v="ORD1274"/>
    <d v="2026-04-07T00:00:00"/>
    <s v="CUST755"/>
    <s v="Timothy"/>
    <s v="Cooke"/>
    <s v="Nguyenbury"/>
    <x v="3"/>
    <x v="5"/>
    <s v="Electronics"/>
    <n v="4"/>
    <n v="21694"/>
    <n v="86776"/>
    <x v="3"/>
    <x v="2"/>
    <x v="3"/>
    <s v="2026"/>
    <x v="274"/>
  </r>
  <r>
    <s v="ORD1275"/>
    <d v="2026-03-01T00:00:00"/>
    <s v="CUST727"/>
    <s v="George"/>
    <s v="Mosley"/>
    <s v="New Bradley"/>
    <x v="0"/>
    <x v="3"/>
    <s v="Electronics"/>
    <n v="1"/>
    <n v="74589"/>
    <n v="74589"/>
    <x v="1"/>
    <x v="0"/>
    <x v="9"/>
    <s v="2026"/>
    <x v="275"/>
  </r>
  <r>
    <s v="ORD1276"/>
    <d v="2026-03-05T00:00:00"/>
    <s v="CUST248"/>
    <s v="Keith"/>
    <s v="Buck"/>
    <s v="Lake Timothyville"/>
    <x v="0"/>
    <x v="2"/>
    <s v="Electronics"/>
    <n v="5"/>
    <n v="42068"/>
    <n v="210340"/>
    <x v="4"/>
    <x v="0"/>
    <x v="9"/>
    <s v="2026"/>
    <x v="276"/>
  </r>
  <r>
    <s v="ORD1277"/>
    <d v="2026-03-09T00:00:00"/>
    <s v="CUST250"/>
    <s v="Kristin"/>
    <s v="Whitaker"/>
    <s v="South Danaville"/>
    <x v="2"/>
    <x v="4"/>
    <s v="Electronics"/>
    <n v="4"/>
    <n v="72672"/>
    <n v="290688"/>
    <x v="1"/>
    <x v="1"/>
    <x v="9"/>
    <s v="2026"/>
    <x v="277"/>
  </r>
  <r>
    <s v="ORD1278"/>
    <d v="2025-12-13T00:00:00"/>
    <s v="CUST587"/>
    <s v="James"/>
    <s v="Reyes"/>
    <s v="Jonesfort"/>
    <x v="0"/>
    <x v="4"/>
    <s v="Electronics"/>
    <n v="1"/>
    <n v="76918"/>
    <n v="76918"/>
    <x v="4"/>
    <x v="0"/>
    <x v="6"/>
    <s v="2025"/>
    <x v="278"/>
  </r>
  <r>
    <s v="ORD1279"/>
    <d v="2025-07-09T00:00:00"/>
    <s v="CUST887"/>
    <s v="Cody"/>
    <s v="Reid"/>
    <s v="Pamelachester"/>
    <x v="3"/>
    <x v="2"/>
    <s v="Electronics"/>
    <n v="2"/>
    <n v="6790"/>
    <n v="13580"/>
    <x v="4"/>
    <x v="2"/>
    <x v="8"/>
    <s v="2025"/>
    <x v="279"/>
  </r>
  <r>
    <s v="ORD1280"/>
    <d v="2025-06-28T00:00:00"/>
    <s v="CUST825"/>
    <s v="Tammie"/>
    <s v="Yu"/>
    <s v="East Jenniferton"/>
    <x v="1"/>
    <x v="0"/>
    <s v="Electronics"/>
    <n v="1"/>
    <n v="62080"/>
    <n v="62080"/>
    <x v="2"/>
    <x v="0"/>
    <x v="10"/>
    <s v="2025"/>
    <x v="280"/>
  </r>
  <r>
    <s v="ORD1281"/>
    <d v="2025-12-30T00:00:00"/>
    <s v="CUST198"/>
    <s v="Ryan"/>
    <s v="Payne"/>
    <s v="Erinmouth"/>
    <x v="3"/>
    <x v="0"/>
    <s v="Electronics"/>
    <n v="4"/>
    <n v="73565"/>
    <n v="294260"/>
    <x v="3"/>
    <x v="2"/>
    <x v="6"/>
    <s v="2025"/>
    <x v="281"/>
  </r>
  <r>
    <s v="ORD1282"/>
    <d v="2026-04-29T00:00:00"/>
    <s v="CUST588"/>
    <s v="Joshua"/>
    <s v="Cook"/>
    <s v="Lake Ronaldtown"/>
    <x v="1"/>
    <x v="2"/>
    <s v="Electronics"/>
    <n v="2"/>
    <n v="77196"/>
    <n v="154392"/>
    <x v="3"/>
    <x v="0"/>
    <x v="3"/>
    <s v="2026"/>
    <x v="282"/>
  </r>
  <r>
    <s v="ORD1283"/>
    <d v="2025-09-10T00:00:00"/>
    <s v="CUST875"/>
    <s v="Lorraine"/>
    <s v="Small"/>
    <s v="Huffmantown"/>
    <x v="1"/>
    <x v="2"/>
    <s v="Electronics"/>
    <n v="4"/>
    <n v="68381"/>
    <n v="273524"/>
    <x v="1"/>
    <x v="1"/>
    <x v="0"/>
    <s v="2025"/>
    <x v="283"/>
  </r>
  <r>
    <s v="ORD1284"/>
    <d v="2025-11-18T00:00:00"/>
    <s v="CUST346"/>
    <s v="Alyssa"/>
    <s v="Wiggins"/>
    <s v="East Michael"/>
    <x v="2"/>
    <x v="0"/>
    <s v="Electronics"/>
    <n v="2"/>
    <n v="6329"/>
    <n v="12658"/>
    <x v="2"/>
    <x v="1"/>
    <x v="11"/>
    <s v="2025"/>
    <x v="284"/>
  </r>
  <r>
    <s v="ORD1285"/>
    <d v="2025-12-04T00:00:00"/>
    <s v="CUST501"/>
    <s v="Michele"/>
    <s v="Wood"/>
    <s v="New Kimberlyhaven"/>
    <x v="0"/>
    <x v="6"/>
    <s v="Electronics"/>
    <n v="5"/>
    <n v="42375"/>
    <n v="211875"/>
    <x v="2"/>
    <x v="0"/>
    <x v="6"/>
    <s v="2025"/>
    <x v="285"/>
  </r>
  <r>
    <s v="ORD1286"/>
    <d v="2025-06-06T00:00:00"/>
    <s v="CUST729"/>
    <s v="Shawn"/>
    <s v="Vazquez"/>
    <s v="Aprilmouth"/>
    <x v="0"/>
    <x v="1"/>
    <s v="Electronics"/>
    <n v="3"/>
    <n v="9957"/>
    <n v="29871"/>
    <x v="2"/>
    <x v="0"/>
    <x v="10"/>
    <s v="2025"/>
    <x v="286"/>
  </r>
  <r>
    <s v="ORD1287"/>
    <d v="2025-11-30T00:00:00"/>
    <s v="CUST551"/>
    <s v="Brandon"/>
    <s v="Wood"/>
    <s v="Port Shawn"/>
    <x v="1"/>
    <x v="0"/>
    <s v="Electronics"/>
    <n v="2"/>
    <n v="28793"/>
    <n v="57586"/>
    <x v="0"/>
    <x v="2"/>
    <x v="11"/>
    <s v="2025"/>
    <x v="287"/>
  </r>
  <r>
    <s v="ORD1288"/>
    <d v="2025-12-10T00:00:00"/>
    <s v="CUST117"/>
    <s v="Gabriel"/>
    <s v="Pierce"/>
    <s v="Kochside"/>
    <x v="0"/>
    <x v="5"/>
    <s v="Electronics"/>
    <n v="3"/>
    <n v="61700"/>
    <n v="185100"/>
    <x v="1"/>
    <x v="2"/>
    <x v="6"/>
    <s v="2025"/>
    <x v="288"/>
  </r>
  <r>
    <s v="ORD1289"/>
    <d v="2026-01-12T00:00:00"/>
    <s v="CUST484"/>
    <s v="Thomas"/>
    <s v="Mendez"/>
    <s v="West Emilyton"/>
    <x v="2"/>
    <x v="4"/>
    <s v="Electronics"/>
    <n v="5"/>
    <n v="8460"/>
    <n v="42300"/>
    <x v="2"/>
    <x v="2"/>
    <x v="5"/>
    <s v="2026"/>
    <x v="289"/>
  </r>
  <r>
    <s v="ORD1290"/>
    <d v="2025-06-20T00:00:00"/>
    <s v="CUST461"/>
    <s v="Leroy"/>
    <s v="Williams"/>
    <s v="Tammyborough"/>
    <x v="2"/>
    <x v="2"/>
    <s v="Electronics"/>
    <n v="5"/>
    <n v="33773"/>
    <n v="168865"/>
    <x v="4"/>
    <x v="2"/>
    <x v="10"/>
    <s v="2025"/>
    <x v="290"/>
  </r>
  <r>
    <s v="ORD1291"/>
    <d v="2025-08-08T00:00:00"/>
    <s v="CUST393"/>
    <s v="Charles"/>
    <s v="Leonard"/>
    <s v="Ericachester"/>
    <x v="3"/>
    <x v="1"/>
    <s v="Electronics"/>
    <n v="1"/>
    <n v="17244"/>
    <n v="17244"/>
    <x v="4"/>
    <x v="1"/>
    <x v="4"/>
    <s v="2025"/>
    <x v="291"/>
  </r>
  <r>
    <s v="ORD1292"/>
    <d v="2025-09-30T00:00:00"/>
    <s v="CUST542"/>
    <s v="Jason"/>
    <s v="Woods"/>
    <s v="Natalieside"/>
    <x v="0"/>
    <x v="6"/>
    <s v="Electronics"/>
    <n v="2"/>
    <n v="71537"/>
    <n v="143074"/>
    <x v="0"/>
    <x v="2"/>
    <x v="0"/>
    <s v="2025"/>
    <x v="292"/>
  </r>
  <r>
    <s v="ORD1293"/>
    <d v="2025-08-29T00:00:00"/>
    <s v="CUST516"/>
    <s v="Robert"/>
    <s v="Thomas"/>
    <s v="West Stevenland"/>
    <x v="1"/>
    <x v="2"/>
    <s v="Electronics"/>
    <n v="2"/>
    <n v="12969"/>
    <n v="25938"/>
    <x v="1"/>
    <x v="2"/>
    <x v="4"/>
    <s v="2025"/>
    <x v="293"/>
  </r>
  <r>
    <s v="ORD1294"/>
    <d v="2025-06-27T00:00:00"/>
    <s v="CUST720"/>
    <s v="Michael"/>
    <s v="Baker"/>
    <s v="East Adam"/>
    <x v="0"/>
    <x v="1"/>
    <s v="Electronics"/>
    <n v="5"/>
    <n v="48524"/>
    <n v="242620"/>
    <x v="4"/>
    <x v="0"/>
    <x v="10"/>
    <s v="2025"/>
    <x v="294"/>
  </r>
  <r>
    <s v="ORD1295"/>
    <d v="2025-10-01T00:00:00"/>
    <s v="CUST993"/>
    <s v="Cole"/>
    <s v="Walker"/>
    <s v="West Carla"/>
    <x v="0"/>
    <x v="6"/>
    <s v="Electronics"/>
    <n v="1"/>
    <n v="51476"/>
    <n v="51476"/>
    <x v="2"/>
    <x v="2"/>
    <x v="7"/>
    <s v="2025"/>
    <x v="295"/>
  </r>
  <r>
    <s v="ORD1296"/>
    <d v="2026-02-28T00:00:00"/>
    <s v="CUST251"/>
    <s v="Dr. Carl Davis"/>
    <s v="MD"/>
    <s v="New James"/>
    <x v="0"/>
    <x v="4"/>
    <s v="Electronics"/>
    <n v="2"/>
    <n v="45220"/>
    <n v="90440"/>
    <x v="0"/>
    <x v="1"/>
    <x v="2"/>
    <s v="2026"/>
    <x v="296"/>
  </r>
  <r>
    <s v="ORD1297"/>
    <d v="2025-07-22T00:00:00"/>
    <s v="CUST836"/>
    <s v="Alan"/>
    <s v="Underwood"/>
    <s v="Port Matthew"/>
    <x v="0"/>
    <x v="4"/>
    <s v="Electronics"/>
    <n v="5"/>
    <n v="78701"/>
    <n v="393505"/>
    <x v="1"/>
    <x v="2"/>
    <x v="8"/>
    <s v="2025"/>
    <x v="297"/>
  </r>
  <r>
    <s v="ORD1298"/>
    <d v="2025-08-07T00:00:00"/>
    <s v="CUST271"/>
    <s v="Sarah"/>
    <s v="Simpson"/>
    <s v="West Jody"/>
    <x v="3"/>
    <x v="1"/>
    <s v="Electronics"/>
    <n v="4"/>
    <n v="16204"/>
    <n v="64816"/>
    <x v="3"/>
    <x v="2"/>
    <x v="4"/>
    <s v="2025"/>
    <x v="298"/>
  </r>
  <r>
    <s v="ORD1299"/>
    <d v="2025-12-13T00:00:00"/>
    <s v="CUST330"/>
    <s v="Brian"/>
    <s v="Johnson"/>
    <s v="South Kimberly"/>
    <x v="3"/>
    <x v="5"/>
    <s v="Electronics"/>
    <n v="1"/>
    <n v="10910"/>
    <n v="10910"/>
    <x v="4"/>
    <x v="2"/>
    <x v="6"/>
    <s v="2025"/>
    <x v="299"/>
  </r>
  <r>
    <s v="ORD1300"/>
    <d v="2026-04-05T00:00:00"/>
    <s v="CUST981"/>
    <s v="Julie"/>
    <s v="Lane"/>
    <s v="North Michelleport"/>
    <x v="0"/>
    <x v="3"/>
    <s v="Electronics"/>
    <n v="4"/>
    <n v="47608"/>
    <n v="190432"/>
    <x v="3"/>
    <x v="0"/>
    <x v="3"/>
    <s v="2026"/>
    <x v="300"/>
  </r>
  <r>
    <s v="ORD1301"/>
    <d v="2026-02-15T00:00:00"/>
    <s v="CUST352"/>
    <s v="Jamie"/>
    <s v="Garcia"/>
    <s v="Port Davidbury"/>
    <x v="1"/>
    <x v="6"/>
    <s v="Electronics"/>
    <n v="4"/>
    <n v="73436"/>
    <n v="293744"/>
    <x v="0"/>
    <x v="1"/>
    <x v="2"/>
    <s v="2026"/>
    <x v="301"/>
  </r>
  <r>
    <s v="ORD1302"/>
    <d v="2026-04-11T00:00:00"/>
    <s v="CUST746"/>
    <s v="Stephen"/>
    <s v="Torres"/>
    <s v="North Matthew"/>
    <x v="2"/>
    <x v="4"/>
    <s v="Electronics"/>
    <n v="2"/>
    <n v="33589"/>
    <n v="67178"/>
    <x v="4"/>
    <x v="2"/>
    <x v="3"/>
    <s v="2026"/>
    <x v="302"/>
  </r>
  <r>
    <s v="ORD1303"/>
    <d v="2025-10-31T00:00:00"/>
    <s v="CUST619"/>
    <s v="Jordan"/>
    <s v="Wilson"/>
    <s v="Lake Kristinaborough"/>
    <x v="1"/>
    <x v="1"/>
    <s v="Electronics"/>
    <n v="5"/>
    <n v="72633"/>
    <n v="363165"/>
    <x v="2"/>
    <x v="0"/>
    <x v="7"/>
    <s v="2025"/>
    <x v="303"/>
  </r>
  <r>
    <s v="ORD1304"/>
    <d v="2026-03-31T00:00:00"/>
    <s v="CUST196"/>
    <s v="Natalie"/>
    <s v="Smith"/>
    <s v="Francisland"/>
    <x v="0"/>
    <x v="5"/>
    <s v="Electronics"/>
    <n v="3"/>
    <n v="57332"/>
    <n v="171996"/>
    <x v="1"/>
    <x v="0"/>
    <x v="9"/>
    <s v="2026"/>
    <x v="304"/>
  </r>
  <r>
    <s v="ORD1305"/>
    <d v="2025-10-17T00:00:00"/>
    <s v="CUST876"/>
    <s v="Kayla"/>
    <s v="Escobar"/>
    <s v="Anthonyview"/>
    <x v="2"/>
    <x v="1"/>
    <s v="Electronics"/>
    <n v="1"/>
    <n v="58444"/>
    <n v="58444"/>
    <x v="1"/>
    <x v="2"/>
    <x v="7"/>
    <s v="2025"/>
    <x v="305"/>
  </r>
  <r>
    <s v="ORD1306"/>
    <d v="2025-12-08T00:00:00"/>
    <s v="CUST471"/>
    <s v="Annette"/>
    <s v="Johnson"/>
    <s v="New Christopher"/>
    <x v="2"/>
    <x v="6"/>
    <s v="Electronics"/>
    <n v="2"/>
    <n v="41172"/>
    <n v="82344"/>
    <x v="1"/>
    <x v="2"/>
    <x v="6"/>
    <s v="2025"/>
    <x v="306"/>
  </r>
  <r>
    <s v="ORD1307"/>
    <d v="2025-07-02T00:00:00"/>
    <s v="CUST749"/>
    <s v="Angela"/>
    <s v="Miller"/>
    <s v="Garciafort"/>
    <x v="1"/>
    <x v="3"/>
    <s v="Electronics"/>
    <n v="2"/>
    <n v="54171"/>
    <n v="108342"/>
    <x v="4"/>
    <x v="2"/>
    <x v="8"/>
    <s v="2025"/>
    <x v="307"/>
  </r>
  <r>
    <s v="ORD1308"/>
    <d v="2026-03-11T00:00:00"/>
    <s v="CUST699"/>
    <s v="Elizabeth"/>
    <s v="Rosales"/>
    <s v="Kurtburgh"/>
    <x v="3"/>
    <x v="2"/>
    <s v="Electronics"/>
    <n v="2"/>
    <n v="14587"/>
    <n v="29174"/>
    <x v="3"/>
    <x v="0"/>
    <x v="9"/>
    <s v="2026"/>
    <x v="308"/>
  </r>
  <r>
    <s v="ORD1309"/>
    <d v="2026-01-03T00:00:00"/>
    <s v="CUST733"/>
    <s v="Kevin"/>
    <s v="Ingram"/>
    <s v="Colemanhaven"/>
    <x v="3"/>
    <x v="4"/>
    <s v="Electronics"/>
    <n v="4"/>
    <n v="3935"/>
    <n v="15740"/>
    <x v="4"/>
    <x v="1"/>
    <x v="5"/>
    <s v="2026"/>
    <x v="309"/>
  </r>
  <r>
    <s v="ORD1310"/>
    <d v="2026-02-24T00:00:00"/>
    <s v="CUST105"/>
    <s v="Eric"/>
    <s v="Kent"/>
    <s v="North Brenthaven"/>
    <x v="1"/>
    <x v="3"/>
    <s v="Electronics"/>
    <n v="2"/>
    <n v="54307"/>
    <n v="108614"/>
    <x v="1"/>
    <x v="0"/>
    <x v="2"/>
    <s v="2026"/>
    <x v="310"/>
  </r>
  <r>
    <s v="ORD1311"/>
    <d v="2025-05-10T00:00:00"/>
    <s v="CUST822"/>
    <s v="Tammy"/>
    <s v="Cole"/>
    <s v="Lake Michael"/>
    <x v="2"/>
    <x v="5"/>
    <s v="Electronics"/>
    <n v="3"/>
    <n v="45561"/>
    <n v="136683"/>
    <x v="1"/>
    <x v="0"/>
    <x v="1"/>
    <s v="2025"/>
    <x v="311"/>
  </r>
  <r>
    <s v="ORD1312"/>
    <d v="2025-12-10T00:00:00"/>
    <s v="CUST374"/>
    <s v="Jacqueline"/>
    <s v="Cline"/>
    <s v="North Kyle"/>
    <x v="0"/>
    <x v="0"/>
    <s v="Electronics"/>
    <n v="4"/>
    <n v="66879"/>
    <n v="267516"/>
    <x v="3"/>
    <x v="1"/>
    <x v="6"/>
    <s v="2025"/>
    <x v="312"/>
  </r>
  <r>
    <s v="ORD1313"/>
    <d v="2025-10-04T00:00:00"/>
    <s v="CUST627"/>
    <s v="Shannon"/>
    <s v="Bryan"/>
    <s v="North Stephenberg"/>
    <x v="0"/>
    <x v="6"/>
    <s v="Electronics"/>
    <n v="2"/>
    <n v="68547"/>
    <n v="137094"/>
    <x v="3"/>
    <x v="0"/>
    <x v="7"/>
    <s v="2025"/>
    <x v="313"/>
  </r>
  <r>
    <s v="ORD1314"/>
    <d v="2025-06-15T00:00:00"/>
    <s v="CUST234"/>
    <s v="Mark"/>
    <s v="Jones"/>
    <s v="Crosbyport"/>
    <x v="2"/>
    <x v="3"/>
    <s v="Electronics"/>
    <n v="3"/>
    <n v="9461"/>
    <n v="28383"/>
    <x v="0"/>
    <x v="2"/>
    <x v="10"/>
    <s v="2025"/>
    <x v="90"/>
  </r>
  <r>
    <s v="ORD1315"/>
    <d v="2026-04-22T00:00:00"/>
    <s v="CUST434"/>
    <s v="Harold"/>
    <s v="Hess"/>
    <s v="Lake Ericfurt"/>
    <x v="3"/>
    <x v="1"/>
    <s v="Electronics"/>
    <n v="1"/>
    <n v="7388"/>
    <n v="7388"/>
    <x v="0"/>
    <x v="2"/>
    <x v="3"/>
    <s v="2026"/>
    <x v="314"/>
  </r>
  <r>
    <s v="ORD1316"/>
    <d v="2025-11-10T00:00:00"/>
    <s v="CUST828"/>
    <s v="Yolanda"/>
    <s v="Clark"/>
    <s v="Lake Shannonfurt"/>
    <x v="1"/>
    <x v="0"/>
    <s v="Electronics"/>
    <n v="1"/>
    <n v="77723"/>
    <n v="77723"/>
    <x v="4"/>
    <x v="2"/>
    <x v="11"/>
    <s v="2025"/>
    <x v="315"/>
  </r>
  <r>
    <s v="ORD1317"/>
    <d v="2025-11-19T00:00:00"/>
    <s v="CUST411"/>
    <s v="Stephen"/>
    <s v="Stanley"/>
    <s v="Lake Richard"/>
    <x v="0"/>
    <x v="3"/>
    <s v="Electronics"/>
    <n v="1"/>
    <n v="65006"/>
    <n v="65006"/>
    <x v="4"/>
    <x v="2"/>
    <x v="11"/>
    <s v="2025"/>
    <x v="316"/>
  </r>
  <r>
    <s v="ORD1318"/>
    <d v="2025-07-30T00:00:00"/>
    <s v="CUST658"/>
    <s v="Jessica"/>
    <s v="Camacho"/>
    <s v="Ronaldtown"/>
    <x v="1"/>
    <x v="1"/>
    <s v="Electronics"/>
    <n v="5"/>
    <n v="15689"/>
    <n v="78445"/>
    <x v="3"/>
    <x v="1"/>
    <x v="8"/>
    <s v="2025"/>
    <x v="317"/>
  </r>
  <r>
    <s v="ORD1319"/>
    <d v="2025-08-25T00:00:00"/>
    <s v="CUST111"/>
    <s v="Joseph"/>
    <s v="Thomas"/>
    <s v="West Elizabeth"/>
    <x v="3"/>
    <x v="6"/>
    <s v="Electronics"/>
    <n v="5"/>
    <n v="59907"/>
    <n v="299535"/>
    <x v="2"/>
    <x v="0"/>
    <x v="4"/>
    <s v="2025"/>
    <x v="318"/>
  </r>
  <r>
    <s v="ORD1320"/>
    <d v="2026-04-03T00:00:00"/>
    <s v="CUST975"/>
    <s v="Caitlin"/>
    <s v="Johnston"/>
    <s v="Lopezshire"/>
    <x v="3"/>
    <x v="3"/>
    <s v="Electronics"/>
    <n v="3"/>
    <n v="55669"/>
    <n v="167007"/>
    <x v="0"/>
    <x v="0"/>
    <x v="3"/>
    <s v="2026"/>
    <x v="319"/>
  </r>
  <r>
    <s v="ORD1321"/>
    <d v="2025-09-25T00:00:00"/>
    <s v="CUST788"/>
    <s v="Erika"/>
    <s v="Tate"/>
    <s v="Valerieborough"/>
    <x v="2"/>
    <x v="2"/>
    <s v="Electronics"/>
    <n v="4"/>
    <n v="15851"/>
    <n v="63404"/>
    <x v="3"/>
    <x v="1"/>
    <x v="0"/>
    <s v="2025"/>
    <x v="320"/>
  </r>
  <r>
    <s v="ORD1322"/>
    <d v="2025-09-05T00:00:00"/>
    <s v="CUST922"/>
    <s v="Andrew"/>
    <s v="Thompson"/>
    <s v="East Heather"/>
    <x v="2"/>
    <x v="0"/>
    <s v="Electronics"/>
    <n v="5"/>
    <n v="56575"/>
    <n v="282875"/>
    <x v="4"/>
    <x v="1"/>
    <x v="0"/>
    <s v="2025"/>
    <x v="321"/>
  </r>
  <r>
    <s v="ORD1323"/>
    <d v="2025-08-25T00:00:00"/>
    <s v="CUST275"/>
    <s v="James"/>
    <s v="Francis"/>
    <s v="Johnsonshire"/>
    <x v="2"/>
    <x v="2"/>
    <s v="Electronics"/>
    <n v="1"/>
    <n v="78796"/>
    <n v="78796"/>
    <x v="3"/>
    <x v="2"/>
    <x v="4"/>
    <s v="2025"/>
    <x v="322"/>
  </r>
  <r>
    <s v="ORD1324"/>
    <d v="2026-01-01T00:00:00"/>
    <s v="CUST715"/>
    <s v="Bradley Rasmussen"/>
    <s v="DVM"/>
    <s v="South Brad"/>
    <x v="0"/>
    <x v="6"/>
    <s v="Electronics"/>
    <n v="3"/>
    <n v="49223"/>
    <n v="147669"/>
    <x v="2"/>
    <x v="1"/>
    <x v="5"/>
    <s v="2026"/>
    <x v="323"/>
  </r>
  <r>
    <s v="ORD1325"/>
    <d v="2026-04-25T00:00:00"/>
    <s v="CUST105"/>
    <s v="Lauren"/>
    <s v="Bryant"/>
    <s v="Larsonmouth"/>
    <x v="3"/>
    <x v="2"/>
    <s v="Electronics"/>
    <n v="1"/>
    <n v="29107"/>
    <n v="29107"/>
    <x v="2"/>
    <x v="0"/>
    <x v="3"/>
    <s v="2026"/>
    <x v="324"/>
  </r>
  <r>
    <s v="ORD1326"/>
    <d v="2025-11-14T00:00:00"/>
    <s v="CUST525"/>
    <s v="Steven"/>
    <s v="Rogers"/>
    <s v="Gamblehaven"/>
    <x v="0"/>
    <x v="2"/>
    <s v="Electronics"/>
    <n v="5"/>
    <n v="48645"/>
    <n v="243225"/>
    <x v="3"/>
    <x v="2"/>
    <x v="11"/>
    <s v="2025"/>
    <x v="325"/>
  </r>
  <r>
    <s v="ORD1327"/>
    <d v="2025-07-01T00:00:00"/>
    <s v="CUST932"/>
    <s v="Victor"/>
    <s v="Phillips"/>
    <s v="Gonzalezbury"/>
    <x v="2"/>
    <x v="2"/>
    <s v="Electronics"/>
    <n v="2"/>
    <n v="46008"/>
    <n v="92016"/>
    <x v="1"/>
    <x v="2"/>
    <x v="8"/>
    <s v="2025"/>
    <x v="326"/>
  </r>
  <r>
    <s v="ORD1328"/>
    <d v="2025-08-28T00:00:00"/>
    <s v="CUST543"/>
    <s v="Dana"/>
    <s v="Wise"/>
    <s v="Michelleborough"/>
    <x v="3"/>
    <x v="4"/>
    <s v="Electronics"/>
    <n v="5"/>
    <n v="71588"/>
    <n v="357940"/>
    <x v="1"/>
    <x v="1"/>
    <x v="4"/>
    <s v="2025"/>
    <x v="327"/>
  </r>
  <r>
    <s v="ORD1329"/>
    <d v="2025-08-03T00:00:00"/>
    <s v="CUST173"/>
    <s v="Barbara"/>
    <s v="Flynn"/>
    <s v="Edwardsmouth"/>
    <x v="0"/>
    <x v="4"/>
    <s v="Electronics"/>
    <n v="3"/>
    <n v="57963"/>
    <n v="173889"/>
    <x v="1"/>
    <x v="0"/>
    <x v="4"/>
    <s v="2025"/>
    <x v="328"/>
  </r>
  <r>
    <s v="ORD1330"/>
    <d v="2025-11-28T00:00:00"/>
    <s v="CUST755"/>
    <s v="Brittany"/>
    <s v="Nelson"/>
    <s v="Connerfort"/>
    <x v="3"/>
    <x v="0"/>
    <s v="Electronics"/>
    <n v="5"/>
    <n v="28343"/>
    <n v="141715"/>
    <x v="2"/>
    <x v="2"/>
    <x v="11"/>
    <s v="2025"/>
    <x v="329"/>
  </r>
  <r>
    <s v="ORD1331"/>
    <d v="2025-10-28T00:00:00"/>
    <s v="CUST471"/>
    <s v="Edward"/>
    <s v="Simon"/>
    <s v="Jasonstad"/>
    <x v="1"/>
    <x v="5"/>
    <s v="Electronics"/>
    <n v="5"/>
    <n v="37160"/>
    <n v="185800"/>
    <x v="0"/>
    <x v="0"/>
    <x v="7"/>
    <s v="2025"/>
    <x v="330"/>
  </r>
  <r>
    <s v="ORD1332"/>
    <d v="2025-06-18T00:00:00"/>
    <s v="CUST827"/>
    <s v="Laurie"/>
    <s v="Montgomery"/>
    <s v="Fordfort"/>
    <x v="2"/>
    <x v="3"/>
    <s v="Electronics"/>
    <n v="1"/>
    <n v="50270"/>
    <n v="50270"/>
    <x v="2"/>
    <x v="1"/>
    <x v="10"/>
    <s v="2025"/>
    <x v="331"/>
  </r>
  <r>
    <s v="ORD1333"/>
    <d v="2025-08-06T00:00:00"/>
    <s v="CUST541"/>
    <s v="Tonya"/>
    <s v="Mayer"/>
    <s v="Port Dustin"/>
    <x v="2"/>
    <x v="1"/>
    <s v="Electronics"/>
    <n v="2"/>
    <n v="3733"/>
    <n v="7466"/>
    <x v="1"/>
    <x v="0"/>
    <x v="4"/>
    <s v="2025"/>
    <x v="332"/>
  </r>
  <r>
    <s v="ORD1334"/>
    <d v="2025-09-22T00:00:00"/>
    <s v="CUST658"/>
    <s v="Katherine"/>
    <s v="Farmer"/>
    <s v="Michaeltown"/>
    <x v="2"/>
    <x v="4"/>
    <s v="Electronics"/>
    <n v="1"/>
    <n v="61265"/>
    <n v="61265"/>
    <x v="2"/>
    <x v="2"/>
    <x v="0"/>
    <s v="2025"/>
    <x v="333"/>
  </r>
  <r>
    <s v="ORD1335"/>
    <d v="2025-12-28T00:00:00"/>
    <s v="CUST562"/>
    <s v="Marissa"/>
    <s v="Patterson"/>
    <s v="South Sherry"/>
    <x v="0"/>
    <x v="2"/>
    <s v="Electronics"/>
    <n v="1"/>
    <n v="17383"/>
    <n v="17383"/>
    <x v="0"/>
    <x v="0"/>
    <x v="6"/>
    <s v="2025"/>
    <x v="334"/>
  </r>
  <r>
    <s v="ORD1336"/>
    <d v="2025-10-04T00:00:00"/>
    <s v="CUST109"/>
    <s v="Miranda"/>
    <s v="Adams"/>
    <s v="South Joseburgh"/>
    <x v="3"/>
    <x v="1"/>
    <s v="Electronics"/>
    <n v="4"/>
    <n v="63019"/>
    <n v="252076"/>
    <x v="1"/>
    <x v="0"/>
    <x v="7"/>
    <s v="2025"/>
    <x v="335"/>
  </r>
  <r>
    <s v="ORD1337"/>
    <d v="2026-04-12T00:00:00"/>
    <s v="CUST767"/>
    <s v="Susan"/>
    <s v="Moreno"/>
    <s v="Jonesview"/>
    <x v="1"/>
    <x v="2"/>
    <s v="Electronics"/>
    <n v="5"/>
    <n v="22416"/>
    <n v="112080"/>
    <x v="2"/>
    <x v="2"/>
    <x v="3"/>
    <s v="2026"/>
    <x v="336"/>
  </r>
  <r>
    <s v="ORD1338"/>
    <d v="2025-11-04T00:00:00"/>
    <s v="CUST622"/>
    <s v="Angela"/>
    <s v="Martinez"/>
    <s v="East Marcmouth"/>
    <x v="3"/>
    <x v="4"/>
    <s v="Electronics"/>
    <n v="5"/>
    <n v="60145"/>
    <n v="300725"/>
    <x v="4"/>
    <x v="0"/>
    <x v="11"/>
    <s v="2025"/>
    <x v="337"/>
  </r>
  <r>
    <s v="ORD1339"/>
    <d v="2025-06-25T00:00:00"/>
    <s v="CUST416"/>
    <s v="Deborah"/>
    <s v="Morris"/>
    <s v="Lake Briannaburgh"/>
    <x v="2"/>
    <x v="3"/>
    <s v="Electronics"/>
    <n v="5"/>
    <n v="14965"/>
    <n v="74825"/>
    <x v="4"/>
    <x v="0"/>
    <x v="10"/>
    <s v="2025"/>
    <x v="338"/>
  </r>
  <r>
    <s v="ORD1340"/>
    <d v="2025-06-06T00:00:00"/>
    <s v="CUST747"/>
    <s v="Jeffrey"/>
    <s v="Perez"/>
    <s v="Leeview"/>
    <x v="1"/>
    <x v="2"/>
    <s v="Electronics"/>
    <n v="5"/>
    <n v="41059"/>
    <n v="205295"/>
    <x v="4"/>
    <x v="1"/>
    <x v="10"/>
    <s v="2025"/>
    <x v="339"/>
  </r>
  <r>
    <s v="ORD1341"/>
    <d v="2025-12-19T00:00:00"/>
    <s v="CUST408"/>
    <s v="Amy"/>
    <s v="Austin"/>
    <s v="North Joseland"/>
    <x v="0"/>
    <x v="5"/>
    <s v="Electronics"/>
    <n v="5"/>
    <n v="47892"/>
    <n v="239460"/>
    <x v="4"/>
    <x v="0"/>
    <x v="6"/>
    <s v="2025"/>
    <x v="340"/>
  </r>
  <r>
    <s v="ORD1342"/>
    <d v="2025-06-24T00:00:00"/>
    <s v="CUST992"/>
    <s v="Jill"/>
    <s v="Orr"/>
    <s v="Josephfort"/>
    <x v="2"/>
    <x v="1"/>
    <s v="Electronics"/>
    <n v="1"/>
    <n v="74171"/>
    <n v="74171"/>
    <x v="2"/>
    <x v="2"/>
    <x v="10"/>
    <s v="2025"/>
    <x v="341"/>
  </r>
  <r>
    <s v="ORD1343"/>
    <d v="2025-07-02T00:00:00"/>
    <s v="CUST506"/>
    <s v="Casey"/>
    <s v="Massey"/>
    <s v="Travisfort"/>
    <x v="1"/>
    <x v="1"/>
    <s v="Electronics"/>
    <n v="4"/>
    <n v="19308"/>
    <n v="77232"/>
    <x v="2"/>
    <x v="1"/>
    <x v="8"/>
    <s v="2025"/>
    <x v="342"/>
  </r>
  <r>
    <s v="ORD1344"/>
    <d v="2026-04-28T00:00:00"/>
    <s v="CUST622"/>
    <s v="David"/>
    <s v="Ashley"/>
    <s v="Warrenmouth"/>
    <x v="1"/>
    <x v="5"/>
    <s v="Electronics"/>
    <n v="5"/>
    <n v="41586"/>
    <n v="207930"/>
    <x v="1"/>
    <x v="1"/>
    <x v="3"/>
    <s v="2026"/>
    <x v="343"/>
  </r>
  <r>
    <s v="ORD1345"/>
    <d v="2026-03-18T00:00:00"/>
    <s v="CUST685"/>
    <s v="Jeremy"/>
    <s v="Brown"/>
    <s v="Port Johnside"/>
    <x v="2"/>
    <x v="4"/>
    <s v="Electronics"/>
    <n v="5"/>
    <n v="37294"/>
    <n v="186470"/>
    <x v="3"/>
    <x v="1"/>
    <x v="9"/>
    <s v="2026"/>
    <x v="344"/>
  </r>
  <r>
    <s v="ORD1346"/>
    <d v="2025-11-20T00:00:00"/>
    <s v="CUST372"/>
    <s v="Anna"/>
    <s v="Lopez"/>
    <s v="Port Christina"/>
    <x v="1"/>
    <x v="5"/>
    <s v="Electronics"/>
    <n v="1"/>
    <n v="70322"/>
    <n v="70322"/>
    <x v="2"/>
    <x v="1"/>
    <x v="11"/>
    <s v="2025"/>
    <x v="345"/>
  </r>
  <r>
    <s v="ORD1347"/>
    <d v="2026-01-14T00:00:00"/>
    <s v="CUST814"/>
    <s v="Yolanda"/>
    <s v="Grant"/>
    <s v="East Jasmine"/>
    <x v="2"/>
    <x v="1"/>
    <s v="Electronics"/>
    <n v="3"/>
    <n v="77858"/>
    <n v="233574"/>
    <x v="2"/>
    <x v="1"/>
    <x v="5"/>
    <s v="2026"/>
    <x v="346"/>
  </r>
  <r>
    <s v="ORD1348"/>
    <d v="2026-02-21T00:00:00"/>
    <s v="CUST885"/>
    <s v="Robert"/>
    <s v="Bird"/>
    <s v="Williamsbury"/>
    <x v="2"/>
    <x v="0"/>
    <s v="Electronics"/>
    <n v="1"/>
    <n v="35613"/>
    <n v="35613"/>
    <x v="3"/>
    <x v="2"/>
    <x v="2"/>
    <s v="2026"/>
    <x v="347"/>
  </r>
  <r>
    <s v="ORD1349"/>
    <d v="2025-11-23T00:00:00"/>
    <s v="CUST527"/>
    <s v="Jacqueline"/>
    <s v="Clark"/>
    <s v="Lake Matthew"/>
    <x v="0"/>
    <x v="2"/>
    <s v="Electronics"/>
    <n v="5"/>
    <n v="52137"/>
    <n v="260685"/>
    <x v="4"/>
    <x v="1"/>
    <x v="11"/>
    <s v="2025"/>
    <x v="348"/>
  </r>
  <r>
    <s v="ORD1350"/>
    <d v="2026-04-05T00:00:00"/>
    <s v="CUST232"/>
    <s v="Sarah"/>
    <s v="Livingston"/>
    <s v="Coreyshire"/>
    <x v="0"/>
    <x v="3"/>
    <s v="Electronics"/>
    <n v="1"/>
    <n v="19401"/>
    <n v="19401"/>
    <x v="0"/>
    <x v="0"/>
    <x v="3"/>
    <s v="2026"/>
    <x v="349"/>
  </r>
  <r>
    <s v="ORD1351"/>
    <d v="2026-04-13T00:00:00"/>
    <s v="CUST745"/>
    <s v="Denise"/>
    <s v="Kim"/>
    <s v="South Deborahberg"/>
    <x v="2"/>
    <x v="5"/>
    <s v="Electronics"/>
    <n v="3"/>
    <n v="70460"/>
    <n v="211380"/>
    <x v="2"/>
    <x v="2"/>
    <x v="3"/>
    <s v="2026"/>
    <x v="350"/>
  </r>
  <r>
    <s v="ORD1352"/>
    <d v="2025-09-26T00:00:00"/>
    <s v="CUST255"/>
    <s v="Gina"/>
    <s v="Rasmussen"/>
    <s v="Crawfordville"/>
    <x v="0"/>
    <x v="6"/>
    <s v="Electronics"/>
    <n v="1"/>
    <n v="65826"/>
    <n v="65826"/>
    <x v="2"/>
    <x v="2"/>
    <x v="0"/>
    <s v="2025"/>
    <x v="351"/>
  </r>
  <r>
    <s v="ORD1353"/>
    <d v="2026-03-13T00:00:00"/>
    <s v="CUST596"/>
    <s v="Carolyn"/>
    <s v="Perez"/>
    <s v="Port Robertton"/>
    <x v="0"/>
    <x v="4"/>
    <s v="Electronics"/>
    <n v="5"/>
    <n v="15528"/>
    <n v="77640"/>
    <x v="2"/>
    <x v="1"/>
    <x v="9"/>
    <s v="2026"/>
    <x v="352"/>
  </r>
  <r>
    <s v="ORD1354"/>
    <d v="2025-05-04T00:00:00"/>
    <s v="CUST603"/>
    <s v="Angela"/>
    <s v="James"/>
    <s v="Wallaceburgh"/>
    <x v="0"/>
    <x v="6"/>
    <s v="Electronics"/>
    <n v="2"/>
    <n v="68564"/>
    <n v="137128"/>
    <x v="4"/>
    <x v="2"/>
    <x v="1"/>
    <s v="2025"/>
    <x v="353"/>
  </r>
  <r>
    <s v="ORD1355"/>
    <d v="2025-12-23T00:00:00"/>
    <s v="CUST371"/>
    <s v="Thomas Gallegos"/>
    <s v="Jr."/>
    <s v="Weaverberg"/>
    <x v="2"/>
    <x v="0"/>
    <s v="Electronics"/>
    <n v="1"/>
    <n v="47604"/>
    <n v="47604"/>
    <x v="3"/>
    <x v="2"/>
    <x v="6"/>
    <s v="2025"/>
    <x v="354"/>
  </r>
  <r>
    <s v="ORD1356"/>
    <d v="2025-07-19T00:00:00"/>
    <s v="CUST193"/>
    <s v="Alexandria"/>
    <s v="Baker"/>
    <s v="Tapiaburgh"/>
    <x v="2"/>
    <x v="5"/>
    <s v="Electronics"/>
    <n v="3"/>
    <n v="3285"/>
    <n v="9855"/>
    <x v="0"/>
    <x v="2"/>
    <x v="8"/>
    <s v="2025"/>
    <x v="355"/>
  </r>
  <r>
    <s v="ORD1357"/>
    <d v="2025-09-25T00:00:00"/>
    <s v="CUST114"/>
    <s v="Christopher"/>
    <s v="Mora"/>
    <s v="Richmondport"/>
    <x v="0"/>
    <x v="6"/>
    <s v="Electronics"/>
    <n v="2"/>
    <n v="18482"/>
    <n v="36964"/>
    <x v="0"/>
    <x v="0"/>
    <x v="0"/>
    <s v="2025"/>
    <x v="356"/>
  </r>
  <r>
    <s v="ORD1358"/>
    <d v="2025-08-31T00:00:00"/>
    <s v="CUST332"/>
    <s v="Emily"/>
    <s v="Harding"/>
    <s v="Port Kathleen"/>
    <x v="2"/>
    <x v="2"/>
    <s v="Electronics"/>
    <n v="3"/>
    <n v="1145"/>
    <n v="3435"/>
    <x v="4"/>
    <x v="2"/>
    <x v="4"/>
    <s v="2025"/>
    <x v="357"/>
  </r>
  <r>
    <s v="ORD1359"/>
    <d v="2026-04-24T00:00:00"/>
    <s v="CUST788"/>
    <s v="Megan"/>
    <s v="Alexander"/>
    <s v="Ericside"/>
    <x v="1"/>
    <x v="3"/>
    <s v="Electronics"/>
    <n v="2"/>
    <n v="24117"/>
    <n v="48234"/>
    <x v="2"/>
    <x v="2"/>
    <x v="3"/>
    <s v="2026"/>
    <x v="358"/>
  </r>
  <r>
    <s v="ORD1360"/>
    <d v="2025-06-30T00:00:00"/>
    <s v="CUST828"/>
    <s v="Anita"/>
    <s v="Crawford"/>
    <s v="West Warrenland"/>
    <x v="3"/>
    <x v="1"/>
    <s v="Electronics"/>
    <n v="2"/>
    <n v="8192"/>
    <n v="16384"/>
    <x v="0"/>
    <x v="0"/>
    <x v="10"/>
    <s v="2025"/>
    <x v="359"/>
  </r>
  <r>
    <s v="ORD1361"/>
    <d v="2026-02-27T00:00:00"/>
    <s v="CUST231"/>
    <s v="Stephanie"/>
    <s v="Ford"/>
    <s v="South Heather"/>
    <x v="0"/>
    <x v="6"/>
    <s v="Electronics"/>
    <n v="2"/>
    <n v="38082"/>
    <n v="76164"/>
    <x v="4"/>
    <x v="1"/>
    <x v="2"/>
    <s v="2026"/>
    <x v="360"/>
  </r>
  <r>
    <s v="ORD1362"/>
    <d v="2025-05-16T00:00:00"/>
    <s v="CUST292"/>
    <s v="Rachel"/>
    <s v="Sanchez"/>
    <s v="New Bradleyfort"/>
    <x v="3"/>
    <x v="3"/>
    <s v="Electronics"/>
    <n v="2"/>
    <n v="66485"/>
    <n v="132970"/>
    <x v="2"/>
    <x v="0"/>
    <x v="1"/>
    <s v="2025"/>
    <x v="361"/>
  </r>
  <r>
    <s v="ORD1363"/>
    <d v="2025-06-14T00:00:00"/>
    <s v="CUST498"/>
    <s v="Sarah"/>
    <s v="Livingston"/>
    <s v="East Ericfort"/>
    <x v="0"/>
    <x v="4"/>
    <s v="Electronics"/>
    <n v="1"/>
    <n v="69936"/>
    <n v="69936"/>
    <x v="0"/>
    <x v="2"/>
    <x v="10"/>
    <s v="2025"/>
    <x v="349"/>
  </r>
  <r>
    <s v="ORD1364"/>
    <d v="2025-11-19T00:00:00"/>
    <s v="CUST404"/>
    <s v="David"/>
    <s v="Evans"/>
    <s v="Kristinfurt"/>
    <x v="0"/>
    <x v="0"/>
    <s v="Electronics"/>
    <n v="2"/>
    <n v="74396"/>
    <n v="148792"/>
    <x v="0"/>
    <x v="1"/>
    <x v="11"/>
    <s v="2025"/>
    <x v="362"/>
  </r>
  <r>
    <s v="ORD1365"/>
    <d v="2025-12-16T00:00:00"/>
    <s v="CUST499"/>
    <s v="Angela"/>
    <s v="Fields"/>
    <s v="Mccormickshire"/>
    <x v="2"/>
    <x v="6"/>
    <s v="Electronics"/>
    <n v="4"/>
    <n v="40073"/>
    <n v="160292"/>
    <x v="0"/>
    <x v="2"/>
    <x v="6"/>
    <s v="2025"/>
    <x v="363"/>
  </r>
  <r>
    <s v="ORD1366"/>
    <d v="2025-12-03T00:00:00"/>
    <s v="CUST265"/>
    <s v="Connor"/>
    <s v="Nguyen"/>
    <s v="Waltershaven"/>
    <x v="3"/>
    <x v="1"/>
    <s v="Electronics"/>
    <n v="3"/>
    <n v="73529"/>
    <n v="220587"/>
    <x v="0"/>
    <x v="0"/>
    <x v="6"/>
    <s v="2025"/>
    <x v="364"/>
  </r>
  <r>
    <s v="ORD1367"/>
    <d v="2026-02-12T00:00:00"/>
    <s v="CUST900"/>
    <s v="Melinda"/>
    <s v="Richardson"/>
    <s v="South Alicia"/>
    <x v="3"/>
    <x v="3"/>
    <s v="Electronics"/>
    <n v="1"/>
    <n v="16687"/>
    <n v="16687"/>
    <x v="2"/>
    <x v="1"/>
    <x v="2"/>
    <s v="2026"/>
    <x v="365"/>
  </r>
  <r>
    <s v="ORD1368"/>
    <d v="2026-04-18T00:00:00"/>
    <s v="CUST689"/>
    <s v="Daniel"/>
    <s v="Hughes"/>
    <s v="South Jonathanfurt"/>
    <x v="2"/>
    <x v="1"/>
    <s v="Electronics"/>
    <n v="2"/>
    <n v="9792"/>
    <n v="19584"/>
    <x v="1"/>
    <x v="1"/>
    <x v="3"/>
    <s v="2026"/>
    <x v="366"/>
  </r>
  <r>
    <s v="ORD1369"/>
    <d v="2025-08-07T00:00:00"/>
    <s v="CUST474"/>
    <s v="Thomas"/>
    <s v="Wilkinson"/>
    <s v="Meganmouth"/>
    <x v="1"/>
    <x v="3"/>
    <s v="Electronics"/>
    <n v="2"/>
    <n v="49886"/>
    <n v="99772"/>
    <x v="1"/>
    <x v="1"/>
    <x v="4"/>
    <s v="2025"/>
    <x v="367"/>
  </r>
  <r>
    <s v="ORD1370"/>
    <d v="2025-08-18T00:00:00"/>
    <s v="CUST911"/>
    <s v="Ryan"/>
    <s v="Soto"/>
    <s v="West Mariaview"/>
    <x v="3"/>
    <x v="2"/>
    <s v="Electronics"/>
    <n v="4"/>
    <n v="64929"/>
    <n v="259716"/>
    <x v="4"/>
    <x v="2"/>
    <x v="4"/>
    <s v="2025"/>
    <x v="368"/>
  </r>
  <r>
    <s v="ORD1371"/>
    <d v="2025-12-28T00:00:00"/>
    <s v="CUST347"/>
    <s v="Curtis"/>
    <s v="Callahan"/>
    <s v="Robersonfort"/>
    <x v="2"/>
    <x v="2"/>
    <s v="Electronics"/>
    <n v="4"/>
    <n v="8040"/>
    <n v="32160"/>
    <x v="0"/>
    <x v="2"/>
    <x v="6"/>
    <s v="2025"/>
    <x v="369"/>
  </r>
  <r>
    <s v="ORD1372"/>
    <d v="2025-05-23T00:00:00"/>
    <s v="CUST872"/>
    <s v="Lisa"/>
    <s v="Keller"/>
    <s v="Jeanettefurt"/>
    <x v="0"/>
    <x v="4"/>
    <s v="Electronics"/>
    <n v="1"/>
    <n v="21166"/>
    <n v="21166"/>
    <x v="3"/>
    <x v="1"/>
    <x v="1"/>
    <s v="2025"/>
    <x v="370"/>
  </r>
  <r>
    <s v="ORD1373"/>
    <d v="2025-09-06T00:00:00"/>
    <s v="CUST431"/>
    <s v="Chelsea"/>
    <s v="Bender"/>
    <s v="Michaelview"/>
    <x v="3"/>
    <x v="5"/>
    <s v="Electronics"/>
    <n v="2"/>
    <n v="49583"/>
    <n v="99166"/>
    <x v="2"/>
    <x v="0"/>
    <x v="0"/>
    <s v="2025"/>
    <x v="371"/>
  </r>
  <r>
    <s v="ORD1374"/>
    <d v="2026-01-13T00:00:00"/>
    <s v="CUST736"/>
    <s v="Melissa"/>
    <s v="Dillon"/>
    <s v="New Jamesstad"/>
    <x v="0"/>
    <x v="5"/>
    <s v="Electronics"/>
    <n v="3"/>
    <n v="17155"/>
    <n v="51465"/>
    <x v="2"/>
    <x v="1"/>
    <x v="5"/>
    <s v="2026"/>
    <x v="372"/>
  </r>
  <r>
    <s v="ORD1375"/>
    <d v="2025-08-23T00:00:00"/>
    <s v="CUST893"/>
    <s v="Emily"/>
    <s v="Davis"/>
    <s v="Osbornefort"/>
    <x v="1"/>
    <x v="6"/>
    <s v="Electronics"/>
    <n v="1"/>
    <n v="8393"/>
    <n v="8393"/>
    <x v="0"/>
    <x v="0"/>
    <x v="4"/>
    <s v="2025"/>
    <x v="373"/>
  </r>
  <r>
    <s v="ORD1376"/>
    <d v="2025-10-14T00:00:00"/>
    <s v="CUST646"/>
    <s v="Amy"/>
    <s v="Peters"/>
    <s v="Lake Monicachester"/>
    <x v="3"/>
    <x v="4"/>
    <s v="Electronics"/>
    <n v="4"/>
    <n v="43098"/>
    <n v="172392"/>
    <x v="2"/>
    <x v="1"/>
    <x v="7"/>
    <s v="2025"/>
    <x v="374"/>
  </r>
  <r>
    <s v="ORD1377"/>
    <d v="2025-08-14T00:00:00"/>
    <s v="CUST694"/>
    <s v="Antonio"/>
    <s v="Long"/>
    <s v="Port Kelli"/>
    <x v="3"/>
    <x v="3"/>
    <s v="Electronics"/>
    <n v="4"/>
    <n v="12574"/>
    <n v="50296"/>
    <x v="2"/>
    <x v="2"/>
    <x v="4"/>
    <s v="2025"/>
    <x v="375"/>
  </r>
  <r>
    <s v="ORD1378"/>
    <d v="2026-03-05T00:00:00"/>
    <s v="CUST927"/>
    <s v="Samantha"/>
    <s v="Garcia"/>
    <s v="Mariaview"/>
    <x v="0"/>
    <x v="5"/>
    <s v="Electronics"/>
    <n v="4"/>
    <n v="13482"/>
    <n v="53928"/>
    <x v="2"/>
    <x v="1"/>
    <x v="9"/>
    <s v="2026"/>
    <x v="376"/>
  </r>
  <r>
    <s v="ORD1379"/>
    <d v="2025-08-30T00:00:00"/>
    <s v="CUST545"/>
    <s v="Tiffany"/>
    <s v="Morgan"/>
    <s v="Aprilmouth"/>
    <x v="2"/>
    <x v="0"/>
    <s v="Electronics"/>
    <n v="4"/>
    <n v="71808"/>
    <n v="287232"/>
    <x v="0"/>
    <x v="2"/>
    <x v="4"/>
    <s v="2025"/>
    <x v="377"/>
  </r>
  <r>
    <s v="ORD1380"/>
    <d v="2025-10-25T00:00:00"/>
    <s v="CUST662"/>
    <s v="Eduardo"/>
    <s v="Williams"/>
    <s v="Lake Jasonside"/>
    <x v="1"/>
    <x v="5"/>
    <s v="Electronics"/>
    <n v="3"/>
    <n v="76396"/>
    <n v="229188"/>
    <x v="1"/>
    <x v="1"/>
    <x v="7"/>
    <s v="2025"/>
    <x v="378"/>
  </r>
  <r>
    <s v="ORD1381"/>
    <d v="2026-04-12T00:00:00"/>
    <s v="CUST960"/>
    <s v="Harold"/>
    <s v="Murphy"/>
    <s v="Rickfort"/>
    <x v="2"/>
    <x v="3"/>
    <s v="Electronics"/>
    <n v="5"/>
    <n v="22245"/>
    <n v="111225"/>
    <x v="1"/>
    <x v="0"/>
    <x v="3"/>
    <s v="2026"/>
    <x v="379"/>
  </r>
  <r>
    <s v="ORD1382"/>
    <d v="2025-09-22T00:00:00"/>
    <s v="CUST302"/>
    <s v="Lauren"/>
    <s v="Boyd"/>
    <s v="Rachaelmouth"/>
    <x v="2"/>
    <x v="5"/>
    <s v="Electronics"/>
    <n v="2"/>
    <n v="31194"/>
    <n v="62388"/>
    <x v="0"/>
    <x v="0"/>
    <x v="0"/>
    <s v="2025"/>
    <x v="380"/>
  </r>
  <r>
    <s v="ORD1383"/>
    <d v="2025-08-10T00:00:00"/>
    <s v="CUST327"/>
    <s v="Thomas"/>
    <s v="Patrick"/>
    <s v="Maxwellside"/>
    <x v="3"/>
    <x v="1"/>
    <s v="Electronics"/>
    <n v="3"/>
    <n v="75600"/>
    <n v="226800"/>
    <x v="1"/>
    <x v="2"/>
    <x v="4"/>
    <s v="2025"/>
    <x v="381"/>
  </r>
  <r>
    <s v="ORD1384"/>
    <d v="2025-11-14T00:00:00"/>
    <s v="CUST756"/>
    <s v="Amanda"/>
    <s v="Mcintosh"/>
    <s v="South Nataliechester"/>
    <x v="3"/>
    <x v="0"/>
    <s v="Electronics"/>
    <n v="4"/>
    <n v="3246"/>
    <n v="12984"/>
    <x v="4"/>
    <x v="1"/>
    <x v="11"/>
    <s v="2025"/>
    <x v="382"/>
  </r>
  <r>
    <s v="ORD1385"/>
    <d v="2025-10-16T00:00:00"/>
    <s v="CUST663"/>
    <s v="Jeanette"/>
    <s v="Bond"/>
    <s v="Lake Steven"/>
    <x v="1"/>
    <x v="5"/>
    <s v="Electronics"/>
    <n v="2"/>
    <n v="43814"/>
    <n v="87628"/>
    <x v="2"/>
    <x v="1"/>
    <x v="7"/>
    <s v="2025"/>
    <x v="383"/>
  </r>
  <r>
    <s v="ORD1386"/>
    <d v="2025-07-07T00:00:00"/>
    <s v="CUST956"/>
    <s v="Terri"/>
    <s v="Hunt"/>
    <s v="Kennethfurt"/>
    <x v="2"/>
    <x v="5"/>
    <s v="Electronics"/>
    <n v="5"/>
    <n v="22690"/>
    <n v="113450"/>
    <x v="4"/>
    <x v="1"/>
    <x v="8"/>
    <s v="2025"/>
    <x v="384"/>
  </r>
  <r>
    <s v="ORD1387"/>
    <d v="2025-11-26T00:00:00"/>
    <s v="CUST464"/>
    <s v="Samuel"/>
    <s v="Lopez"/>
    <s v="Melissaberg"/>
    <x v="0"/>
    <x v="4"/>
    <s v="Electronics"/>
    <n v="5"/>
    <n v="8754"/>
    <n v="43770"/>
    <x v="1"/>
    <x v="0"/>
    <x v="11"/>
    <s v="2025"/>
    <x v="385"/>
  </r>
  <r>
    <s v="ORD1388"/>
    <d v="2025-08-10T00:00:00"/>
    <s v="CUST228"/>
    <s v="David"/>
    <s v="Barrett"/>
    <s v="South Erin"/>
    <x v="0"/>
    <x v="1"/>
    <s v="Electronics"/>
    <n v="1"/>
    <n v="4111"/>
    <n v="4111"/>
    <x v="1"/>
    <x v="0"/>
    <x v="4"/>
    <s v="2025"/>
    <x v="386"/>
  </r>
  <r>
    <s v="ORD1389"/>
    <d v="2025-11-26T00:00:00"/>
    <s v="CUST878"/>
    <s v="Sandra"/>
    <s v="Smith"/>
    <s v="Anitamouth"/>
    <x v="0"/>
    <x v="4"/>
    <s v="Electronics"/>
    <n v="4"/>
    <n v="12356"/>
    <n v="49424"/>
    <x v="1"/>
    <x v="0"/>
    <x v="11"/>
    <s v="2025"/>
    <x v="387"/>
  </r>
  <r>
    <s v="ORD1390"/>
    <d v="2026-01-20T00:00:00"/>
    <s v="CUST404"/>
    <s v="Angela"/>
    <s v="Davis"/>
    <s v="New Austin"/>
    <x v="1"/>
    <x v="2"/>
    <s v="Electronics"/>
    <n v="3"/>
    <n v="7275"/>
    <n v="21825"/>
    <x v="0"/>
    <x v="2"/>
    <x v="5"/>
    <s v="2026"/>
    <x v="388"/>
  </r>
  <r>
    <s v="ORD1391"/>
    <d v="2025-10-30T00:00:00"/>
    <s v="CUST612"/>
    <s v="Aaron"/>
    <s v="Stevens"/>
    <s v="North Annettemouth"/>
    <x v="2"/>
    <x v="2"/>
    <s v="Electronics"/>
    <n v="2"/>
    <n v="45274"/>
    <n v="90548"/>
    <x v="1"/>
    <x v="2"/>
    <x v="7"/>
    <s v="2025"/>
    <x v="389"/>
  </r>
  <r>
    <s v="ORD1392"/>
    <d v="2025-12-30T00:00:00"/>
    <s v="CUST519"/>
    <s v="Devin"/>
    <s v="Williams"/>
    <s v="Sherrychester"/>
    <x v="0"/>
    <x v="2"/>
    <s v="Electronics"/>
    <n v="1"/>
    <n v="79188"/>
    <n v="79188"/>
    <x v="1"/>
    <x v="1"/>
    <x v="6"/>
    <s v="2025"/>
    <x v="390"/>
  </r>
  <r>
    <s v="ORD1393"/>
    <d v="2025-09-18T00:00:00"/>
    <s v="CUST923"/>
    <s v="Jennifer"/>
    <s v="Walker"/>
    <s v="Samuelhaven"/>
    <x v="0"/>
    <x v="5"/>
    <s v="Electronics"/>
    <n v="4"/>
    <n v="2411"/>
    <n v="9644"/>
    <x v="3"/>
    <x v="2"/>
    <x v="0"/>
    <s v="2025"/>
    <x v="391"/>
  </r>
  <r>
    <s v="ORD1394"/>
    <d v="2025-11-05T00:00:00"/>
    <s v="CUST749"/>
    <s v="Ashley"/>
    <s v="Gill"/>
    <s v="Lunatown"/>
    <x v="0"/>
    <x v="1"/>
    <s v="Electronics"/>
    <n v="3"/>
    <n v="67972"/>
    <n v="203916"/>
    <x v="3"/>
    <x v="0"/>
    <x v="11"/>
    <s v="2025"/>
    <x v="392"/>
  </r>
  <r>
    <s v="ORD1395"/>
    <d v="2026-03-17T00:00:00"/>
    <s v="CUST131"/>
    <s v="Christopher"/>
    <s v="Johnson"/>
    <s v="West Kaitlynbury"/>
    <x v="0"/>
    <x v="0"/>
    <s v="Electronics"/>
    <n v="4"/>
    <n v="68102"/>
    <n v="272408"/>
    <x v="4"/>
    <x v="1"/>
    <x v="9"/>
    <s v="2026"/>
    <x v="393"/>
  </r>
  <r>
    <s v="ORD1396"/>
    <d v="2026-02-12T00:00:00"/>
    <s v="CUST773"/>
    <s v="Melissa"/>
    <s v="Lopez"/>
    <s v="Byrdshire"/>
    <x v="0"/>
    <x v="1"/>
    <s v="Electronics"/>
    <n v="1"/>
    <n v="58023"/>
    <n v="58023"/>
    <x v="1"/>
    <x v="0"/>
    <x v="2"/>
    <s v="2026"/>
    <x v="394"/>
  </r>
  <r>
    <s v="ORD1397"/>
    <d v="2025-12-20T00:00:00"/>
    <s v="CUST220"/>
    <s v="Connor"/>
    <s v="Moran"/>
    <s v="Port Coreyville"/>
    <x v="1"/>
    <x v="2"/>
    <s v="Electronics"/>
    <n v="5"/>
    <n v="68805"/>
    <n v="344025"/>
    <x v="4"/>
    <x v="1"/>
    <x v="6"/>
    <s v="2025"/>
    <x v="395"/>
  </r>
  <r>
    <s v="ORD1398"/>
    <d v="2026-01-10T00:00:00"/>
    <s v="CUST138"/>
    <s v="Julia"/>
    <s v="Khan"/>
    <s v="West Deborah"/>
    <x v="1"/>
    <x v="3"/>
    <s v="Electronics"/>
    <n v="2"/>
    <n v="44319"/>
    <n v="88638"/>
    <x v="1"/>
    <x v="1"/>
    <x v="5"/>
    <s v="2026"/>
    <x v="396"/>
  </r>
  <r>
    <s v="ORD1399"/>
    <d v="2025-11-30T00:00:00"/>
    <s v="CUST506"/>
    <s v="Sherri"/>
    <s v="Adams"/>
    <s v="Port Kennethstad"/>
    <x v="2"/>
    <x v="4"/>
    <s v="Electronics"/>
    <n v="3"/>
    <n v="45502"/>
    <n v="136506"/>
    <x v="1"/>
    <x v="1"/>
    <x v="11"/>
    <s v="2025"/>
    <x v="397"/>
  </r>
  <r>
    <s v="ORD1400"/>
    <d v="2025-12-27T00:00:00"/>
    <s v="CUST462"/>
    <s v="Juan"/>
    <s v="Becker"/>
    <s v="Conwayport"/>
    <x v="2"/>
    <x v="0"/>
    <s v="Electronics"/>
    <n v="3"/>
    <n v="66294"/>
    <n v="198882"/>
    <x v="1"/>
    <x v="0"/>
    <x v="6"/>
    <s v="2025"/>
    <x v="398"/>
  </r>
  <r>
    <s v="ORD1401"/>
    <d v="2025-06-13T00:00:00"/>
    <s v="CUST150"/>
    <s v="Cassandra"/>
    <s v="Harris"/>
    <s v="West Justintown"/>
    <x v="0"/>
    <x v="5"/>
    <s v="Electronics"/>
    <n v="3"/>
    <n v="15500"/>
    <n v="46500"/>
    <x v="2"/>
    <x v="2"/>
    <x v="10"/>
    <s v="2025"/>
    <x v="399"/>
  </r>
  <r>
    <s v="ORD1402"/>
    <d v="2026-03-05T00:00:00"/>
    <s v="CUST119"/>
    <s v="Jason"/>
    <s v="Ramos"/>
    <s v="Batesfurt"/>
    <x v="2"/>
    <x v="1"/>
    <s v="Electronics"/>
    <n v="2"/>
    <n v="17283"/>
    <n v="34566"/>
    <x v="3"/>
    <x v="2"/>
    <x v="9"/>
    <s v="2026"/>
    <x v="400"/>
  </r>
  <r>
    <s v="ORD1403"/>
    <d v="2026-04-18T00:00:00"/>
    <s v="CUST843"/>
    <s v="Leslie"/>
    <s v="Butler"/>
    <s v="New Rickyland"/>
    <x v="0"/>
    <x v="4"/>
    <s v="Electronics"/>
    <n v="2"/>
    <n v="37056"/>
    <n v="74112"/>
    <x v="3"/>
    <x v="1"/>
    <x v="3"/>
    <s v="2026"/>
    <x v="401"/>
  </r>
  <r>
    <s v="ORD1404"/>
    <d v="2025-10-11T00:00:00"/>
    <s v="CUST335"/>
    <s v="Joseph"/>
    <s v="Ramos"/>
    <s v="Yvetteton"/>
    <x v="0"/>
    <x v="4"/>
    <s v="Electronics"/>
    <n v="2"/>
    <n v="29884"/>
    <n v="59768"/>
    <x v="1"/>
    <x v="0"/>
    <x v="7"/>
    <s v="2025"/>
    <x v="402"/>
  </r>
  <r>
    <s v="ORD1405"/>
    <d v="2025-11-12T00:00:00"/>
    <s v="CUST137"/>
    <s v="Robert"/>
    <s v="Scott"/>
    <s v="South Nicoleport"/>
    <x v="3"/>
    <x v="4"/>
    <s v="Electronics"/>
    <n v="2"/>
    <n v="23634"/>
    <n v="47268"/>
    <x v="3"/>
    <x v="2"/>
    <x v="11"/>
    <s v="2025"/>
    <x v="403"/>
  </r>
  <r>
    <s v="ORD1406"/>
    <d v="2026-02-25T00:00:00"/>
    <s v="CUST477"/>
    <s v="Ryan"/>
    <s v="Stevens"/>
    <s v="Lake Jamie"/>
    <x v="1"/>
    <x v="1"/>
    <s v="Electronics"/>
    <n v="3"/>
    <n v="71172"/>
    <n v="213516"/>
    <x v="0"/>
    <x v="0"/>
    <x v="2"/>
    <s v="2026"/>
    <x v="404"/>
  </r>
  <r>
    <s v="ORD1407"/>
    <d v="2025-10-13T00:00:00"/>
    <s v="CUST525"/>
    <s v="Emily"/>
    <s v="Juarez"/>
    <s v="North Kristi"/>
    <x v="3"/>
    <x v="5"/>
    <s v="Electronics"/>
    <n v="4"/>
    <n v="37857"/>
    <n v="151428"/>
    <x v="0"/>
    <x v="1"/>
    <x v="7"/>
    <s v="2025"/>
    <x v="405"/>
  </r>
  <r>
    <s v="ORD1408"/>
    <d v="2025-10-02T00:00:00"/>
    <s v="CUST952"/>
    <s v="Jessica"/>
    <s v="Gregory"/>
    <s v="Lindaberg"/>
    <x v="1"/>
    <x v="0"/>
    <s v="Electronics"/>
    <n v="3"/>
    <n v="1159"/>
    <n v="3477"/>
    <x v="4"/>
    <x v="1"/>
    <x v="7"/>
    <s v="2025"/>
    <x v="406"/>
  </r>
  <r>
    <s v="ORD1409"/>
    <d v="2025-06-05T00:00:00"/>
    <s v="CUST920"/>
    <s v="Charles"/>
    <s v="Reeves"/>
    <s v="Zoechester"/>
    <x v="2"/>
    <x v="4"/>
    <s v="Electronics"/>
    <n v="1"/>
    <n v="32623"/>
    <n v="32623"/>
    <x v="4"/>
    <x v="0"/>
    <x v="10"/>
    <s v="2025"/>
    <x v="407"/>
  </r>
  <r>
    <s v="ORD1410"/>
    <d v="2025-07-30T00:00:00"/>
    <s v="CUST966"/>
    <s v="Donna"/>
    <s v="Vega"/>
    <s v="Port Marieshire"/>
    <x v="2"/>
    <x v="0"/>
    <s v="Electronics"/>
    <n v="1"/>
    <n v="26035"/>
    <n v="26035"/>
    <x v="4"/>
    <x v="1"/>
    <x v="8"/>
    <s v="2025"/>
    <x v="408"/>
  </r>
  <r>
    <s v="ORD1411"/>
    <d v="2025-07-14T00:00:00"/>
    <s v="CUST442"/>
    <s v="Lisa"/>
    <s v="Heath"/>
    <s v="Harrismouth"/>
    <x v="0"/>
    <x v="6"/>
    <s v="Electronics"/>
    <n v="1"/>
    <n v="69133"/>
    <n v="69133"/>
    <x v="2"/>
    <x v="1"/>
    <x v="8"/>
    <s v="2025"/>
    <x v="409"/>
  </r>
  <r>
    <s v="ORD1412"/>
    <d v="2025-06-16T00:00:00"/>
    <s v="CUST682"/>
    <s v="Wendy Rosario"/>
    <s v="MD"/>
    <s v="Jamiefort"/>
    <x v="0"/>
    <x v="3"/>
    <s v="Electronics"/>
    <n v="1"/>
    <n v="29581"/>
    <n v="29581"/>
    <x v="1"/>
    <x v="2"/>
    <x v="10"/>
    <s v="2025"/>
    <x v="410"/>
  </r>
  <r>
    <s v="ORD1413"/>
    <d v="2025-09-01T00:00:00"/>
    <s v="CUST263"/>
    <s v="Jeremy"/>
    <s v="Boyd"/>
    <s v="Lake Loriberg"/>
    <x v="2"/>
    <x v="6"/>
    <s v="Electronics"/>
    <n v="3"/>
    <n v="27377"/>
    <n v="82131"/>
    <x v="4"/>
    <x v="2"/>
    <x v="0"/>
    <s v="2025"/>
    <x v="411"/>
  </r>
  <r>
    <s v="ORD1414"/>
    <d v="2026-02-05T00:00:00"/>
    <s v="CUST454"/>
    <s v="Megan"/>
    <s v="Foster"/>
    <s v="Foxhaven"/>
    <x v="1"/>
    <x v="5"/>
    <s v="Electronics"/>
    <n v="5"/>
    <n v="50025"/>
    <n v="250125"/>
    <x v="4"/>
    <x v="1"/>
    <x v="2"/>
    <s v="2026"/>
    <x v="412"/>
  </r>
  <r>
    <s v="ORD1415"/>
    <d v="2026-04-17T00:00:00"/>
    <s v="CUST419"/>
    <s v="Brian"/>
    <s v="Spencer"/>
    <s v="Lauramouth"/>
    <x v="0"/>
    <x v="6"/>
    <s v="Electronics"/>
    <n v="4"/>
    <n v="23825"/>
    <n v="95300"/>
    <x v="0"/>
    <x v="2"/>
    <x v="3"/>
    <s v="2026"/>
    <x v="413"/>
  </r>
  <r>
    <s v="ORD1416"/>
    <d v="2025-08-02T00:00:00"/>
    <s v="CUST813"/>
    <s v="Brenda"/>
    <s v="Gibson"/>
    <s v="Lake Coleberg"/>
    <x v="3"/>
    <x v="2"/>
    <s v="Electronics"/>
    <n v="5"/>
    <n v="56938"/>
    <n v="284690"/>
    <x v="0"/>
    <x v="2"/>
    <x v="4"/>
    <s v="2025"/>
    <x v="414"/>
  </r>
  <r>
    <s v="ORD1417"/>
    <d v="2026-03-14T00:00:00"/>
    <s v="CUST460"/>
    <s v="Holly"/>
    <s v="Harvey"/>
    <s v="Amandastad"/>
    <x v="0"/>
    <x v="6"/>
    <s v="Electronics"/>
    <n v="4"/>
    <n v="58041"/>
    <n v="232164"/>
    <x v="3"/>
    <x v="0"/>
    <x v="9"/>
    <s v="2026"/>
    <x v="415"/>
  </r>
  <r>
    <s v="ORD1418"/>
    <d v="2025-05-26T00:00:00"/>
    <s v="CUST407"/>
    <s v="Brandon"/>
    <s v="Valenzuela"/>
    <s v="Adamside"/>
    <x v="2"/>
    <x v="0"/>
    <s v="Electronics"/>
    <n v="3"/>
    <n v="3053"/>
    <n v="9159"/>
    <x v="0"/>
    <x v="0"/>
    <x v="1"/>
    <s v="2025"/>
    <x v="416"/>
  </r>
  <r>
    <s v="ORD1419"/>
    <d v="2025-12-29T00:00:00"/>
    <s v="CUST452"/>
    <s v="Jordan"/>
    <s v="Miller"/>
    <s v="Port Johnnyfort"/>
    <x v="1"/>
    <x v="5"/>
    <s v="Electronics"/>
    <n v="4"/>
    <n v="47948"/>
    <n v="191792"/>
    <x v="2"/>
    <x v="0"/>
    <x v="6"/>
    <s v="2025"/>
    <x v="417"/>
  </r>
  <r>
    <s v="ORD1420"/>
    <d v="2026-02-09T00:00:00"/>
    <s v="CUST156"/>
    <s v="Jason"/>
    <s v="Stanley"/>
    <s v="Lake Katherinetown"/>
    <x v="1"/>
    <x v="3"/>
    <s v="Electronics"/>
    <n v="3"/>
    <n v="47831"/>
    <n v="143493"/>
    <x v="4"/>
    <x v="2"/>
    <x v="2"/>
    <s v="2026"/>
    <x v="418"/>
  </r>
  <r>
    <s v="ORD1421"/>
    <d v="2025-06-29T00:00:00"/>
    <s v="CUST615"/>
    <s v="Laura"/>
    <s v="Romero"/>
    <s v="West Tylerhaven"/>
    <x v="3"/>
    <x v="1"/>
    <s v="Electronics"/>
    <n v="3"/>
    <n v="60889"/>
    <n v="182667"/>
    <x v="0"/>
    <x v="1"/>
    <x v="10"/>
    <s v="2025"/>
    <x v="419"/>
  </r>
  <r>
    <s v="ORD1422"/>
    <d v="2026-04-06T00:00:00"/>
    <s v="CUST633"/>
    <s v="Nancy"/>
    <s v="Perez"/>
    <s v="Cassandraton"/>
    <x v="0"/>
    <x v="3"/>
    <s v="Electronics"/>
    <n v="3"/>
    <n v="47497"/>
    <n v="142491"/>
    <x v="1"/>
    <x v="2"/>
    <x v="3"/>
    <s v="2026"/>
    <x v="420"/>
  </r>
  <r>
    <s v="ORD1423"/>
    <d v="2025-06-03T00:00:00"/>
    <s v="CUST667"/>
    <s v="Jasmine"/>
    <s v="Sutton"/>
    <s v="Sheppardport"/>
    <x v="1"/>
    <x v="4"/>
    <s v="Electronics"/>
    <n v="1"/>
    <n v="30498"/>
    <n v="30498"/>
    <x v="2"/>
    <x v="0"/>
    <x v="10"/>
    <s v="2025"/>
    <x v="421"/>
  </r>
  <r>
    <s v="ORD1424"/>
    <d v="2025-09-20T00:00:00"/>
    <s v="CUST135"/>
    <s v="Carrie"/>
    <s v="Clark"/>
    <s v="Woodsbury"/>
    <x v="2"/>
    <x v="0"/>
    <s v="Electronics"/>
    <n v="3"/>
    <n v="32824"/>
    <n v="98472"/>
    <x v="4"/>
    <x v="0"/>
    <x v="0"/>
    <s v="2025"/>
    <x v="422"/>
  </r>
  <r>
    <s v="ORD1425"/>
    <d v="2025-09-16T00:00:00"/>
    <s v="CUST977"/>
    <s v="Timothy"/>
    <s v="Sanchez"/>
    <s v="Ericstad"/>
    <x v="1"/>
    <x v="2"/>
    <s v="Electronics"/>
    <n v="2"/>
    <n v="1913"/>
    <n v="3826"/>
    <x v="2"/>
    <x v="2"/>
    <x v="0"/>
    <s v="2025"/>
    <x v="423"/>
  </r>
  <r>
    <s v="ORD1426"/>
    <d v="2026-04-09T00:00:00"/>
    <s v="CUST805"/>
    <s v="Amy"/>
    <s v="Barnes"/>
    <s v="Jerometon"/>
    <x v="0"/>
    <x v="3"/>
    <s v="Electronics"/>
    <n v="1"/>
    <n v="34356"/>
    <n v="34356"/>
    <x v="4"/>
    <x v="2"/>
    <x v="3"/>
    <s v="2026"/>
    <x v="424"/>
  </r>
  <r>
    <s v="ORD1427"/>
    <d v="2025-10-26T00:00:00"/>
    <s v="CUST662"/>
    <s v="Jonathan"/>
    <s v="Martinez"/>
    <s v="East Lisafort"/>
    <x v="0"/>
    <x v="3"/>
    <s v="Electronics"/>
    <n v="3"/>
    <n v="38816"/>
    <n v="116448"/>
    <x v="1"/>
    <x v="2"/>
    <x v="7"/>
    <s v="2025"/>
    <x v="425"/>
  </r>
  <r>
    <s v="ORD1428"/>
    <d v="2025-07-27T00:00:00"/>
    <s v="CUST482"/>
    <s v="Joseph"/>
    <s v="Li"/>
    <s v="Port Lauraburgh"/>
    <x v="0"/>
    <x v="5"/>
    <s v="Electronics"/>
    <n v="1"/>
    <n v="64439"/>
    <n v="64439"/>
    <x v="3"/>
    <x v="2"/>
    <x v="8"/>
    <s v="2025"/>
    <x v="426"/>
  </r>
  <r>
    <s v="ORD1429"/>
    <d v="2025-12-19T00:00:00"/>
    <s v="CUST733"/>
    <s v="Michelle"/>
    <s v="Lewis"/>
    <s v="Jenniferchester"/>
    <x v="2"/>
    <x v="2"/>
    <s v="Electronics"/>
    <n v="2"/>
    <n v="49675"/>
    <n v="99350"/>
    <x v="4"/>
    <x v="1"/>
    <x v="6"/>
    <s v="2025"/>
    <x v="427"/>
  </r>
  <r>
    <s v="ORD1430"/>
    <d v="2025-08-26T00:00:00"/>
    <s v="CUST329"/>
    <s v="Brittany"/>
    <s v="Valencia"/>
    <s v="Lake Briana"/>
    <x v="3"/>
    <x v="5"/>
    <s v="Electronics"/>
    <n v="2"/>
    <n v="8212"/>
    <n v="16424"/>
    <x v="4"/>
    <x v="2"/>
    <x v="4"/>
    <s v="2025"/>
    <x v="428"/>
  </r>
  <r>
    <s v="ORD1431"/>
    <d v="2025-05-11T00:00:00"/>
    <s v="CUST139"/>
    <s v="Mark"/>
    <s v="Cabrera"/>
    <s v="Yvonnefurt"/>
    <x v="0"/>
    <x v="2"/>
    <s v="Electronics"/>
    <n v="3"/>
    <n v="22398"/>
    <n v="67194"/>
    <x v="4"/>
    <x v="2"/>
    <x v="1"/>
    <s v="2025"/>
    <x v="429"/>
  </r>
  <r>
    <s v="ORD1432"/>
    <d v="2025-07-30T00:00:00"/>
    <s v="CUST514"/>
    <s v="Jacob"/>
    <s v="Williams"/>
    <s v="South Donaldshire"/>
    <x v="3"/>
    <x v="1"/>
    <s v="Electronics"/>
    <n v="3"/>
    <n v="14792"/>
    <n v="44376"/>
    <x v="1"/>
    <x v="1"/>
    <x v="8"/>
    <s v="2025"/>
    <x v="430"/>
  </r>
  <r>
    <s v="ORD1433"/>
    <d v="2026-01-08T00:00:00"/>
    <s v="CUST208"/>
    <s v="Joe"/>
    <s v="Curtis"/>
    <s v="Gailport"/>
    <x v="0"/>
    <x v="4"/>
    <s v="Electronics"/>
    <n v="2"/>
    <n v="20150"/>
    <n v="40300"/>
    <x v="3"/>
    <x v="0"/>
    <x v="5"/>
    <s v="2026"/>
    <x v="431"/>
  </r>
  <r>
    <s v="ORD1434"/>
    <d v="2025-09-10T00:00:00"/>
    <s v="CUST590"/>
    <s v="Hannah"/>
    <s v="Sweeney"/>
    <s v="Lake Robertton"/>
    <x v="0"/>
    <x v="5"/>
    <s v="Electronics"/>
    <n v="5"/>
    <n v="60322"/>
    <n v="301610"/>
    <x v="2"/>
    <x v="2"/>
    <x v="0"/>
    <s v="2025"/>
    <x v="432"/>
  </r>
  <r>
    <s v="ORD1435"/>
    <d v="2025-06-23T00:00:00"/>
    <s v="CUST584"/>
    <s v="Laurie"/>
    <s v="Young"/>
    <s v="Parsonsmouth"/>
    <x v="1"/>
    <x v="3"/>
    <s v="Electronics"/>
    <n v="4"/>
    <n v="4056"/>
    <n v="16224"/>
    <x v="0"/>
    <x v="2"/>
    <x v="10"/>
    <s v="2025"/>
    <x v="433"/>
  </r>
  <r>
    <s v="ORD1436"/>
    <d v="2026-01-17T00:00:00"/>
    <s v="CUST721"/>
    <s v="James"/>
    <s v="Parker"/>
    <s v="Newtonbury"/>
    <x v="1"/>
    <x v="0"/>
    <s v="Electronics"/>
    <n v="1"/>
    <n v="30377"/>
    <n v="30377"/>
    <x v="0"/>
    <x v="0"/>
    <x v="5"/>
    <s v="2026"/>
    <x v="434"/>
  </r>
  <r>
    <s v="ORD1437"/>
    <d v="2026-02-23T00:00:00"/>
    <s v="CUST949"/>
    <s v="Mary"/>
    <s v="Schmidt"/>
    <s v="Markhaven"/>
    <x v="3"/>
    <x v="0"/>
    <s v="Electronics"/>
    <n v="2"/>
    <n v="44387"/>
    <n v="88774"/>
    <x v="0"/>
    <x v="1"/>
    <x v="2"/>
    <s v="2026"/>
    <x v="435"/>
  </r>
  <r>
    <s v="ORD1438"/>
    <d v="2025-06-04T00:00:00"/>
    <s v="CUST236"/>
    <s v="Dawn"/>
    <s v="Anderson"/>
    <s v="Watkinsstad"/>
    <x v="0"/>
    <x v="0"/>
    <s v="Electronics"/>
    <n v="5"/>
    <n v="54475"/>
    <n v="272375"/>
    <x v="4"/>
    <x v="2"/>
    <x v="10"/>
    <s v="2025"/>
    <x v="436"/>
  </r>
  <r>
    <s v="ORD1439"/>
    <d v="2026-04-12T00:00:00"/>
    <s v="CUST612"/>
    <s v="Robert"/>
    <s v="Garcia"/>
    <s v="West Markmouth"/>
    <x v="0"/>
    <x v="2"/>
    <s v="Electronics"/>
    <n v="3"/>
    <n v="62842"/>
    <n v="188526"/>
    <x v="2"/>
    <x v="1"/>
    <x v="3"/>
    <s v="2026"/>
    <x v="437"/>
  </r>
  <r>
    <s v="ORD1440"/>
    <d v="2026-02-23T00:00:00"/>
    <s v="CUST310"/>
    <s v="Elizabeth"/>
    <s v="Smith"/>
    <s v="Heathershire"/>
    <x v="0"/>
    <x v="3"/>
    <s v="Electronics"/>
    <n v="1"/>
    <n v="11627"/>
    <n v="11627"/>
    <x v="2"/>
    <x v="2"/>
    <x v="2"/>
    <s v="2026"/>
    <x v="438"/>
  </r>
  <r>
    <s v="ORD1441"/>
    <d v="2025-08-21T00:00:00"/>
    <s v="CUST896"/>
    <s v="Thomas"/>
    <s v="Hurley"/>
    <s v="Patriciabury"/>
    <x v="3"/>
    <x v="5"/>
    <s v="Electronics"/>
    <n v="1"/>
    <n v="22357"/>
    <n v="22357"/>
    <x v="1"/>
    <x v="1"/>
    <x v="4"/>
    <s v="2025"/>
    <x v="439"/>
  </r>
  <r>
    <s v="ORD1442"/>
    <d v="2025-06-01T00:00:00"/>
    <s v="CUST346"/>
    <s v="Douglas"/>
    <s v="Turner"/>
    <s v="North Adamborough"/>
    <x v="0"/>
    <x v="4"/>
    <s v="Electronics"/>
    <n v="4"/>
    <n v="73364"/>
    <n v="293456"/>
    <x v="0"/>
    <x v="0"/>
    <x v="10"/>
    <s v="2025"/>
    <x v="440"/>
  </r>
  <r>
    <s v="ORD1443"/>
    <d v="2025-10-05T00:00:00"/>
    <s v="CUST485"/>
    <s v="Alicia"/>
    <s v="Silva"/>
    <s v="Thompsonmouth"/>
    <x v="2"/>
    <x v="3"/>
    <s v="Electronics"/>
    <n v="5"/>
    <n v="37704"/>
    <n v="188520"/>
    <x v="4"/>
    <x v="2"/>
    <x v="7"/>
    <s v="2025"/>
    <x v="441"/>
  </r>
  <r>
    <s v="ORD1444"/>
    <d v="2025-05-23T00:00:00"/>
    <s v="CUST982"/>
    <s v="Samantha"/>
    <s v="Calhoun"/>
    <s v="Johnburgh"/>
    <x v="1"/>
    <x v="6"/>
    <s v="Electronics"/>
    <n v="2"/>
    <n v="26611"/>
    <n v="53222"/>
    <x v="3"/>
    <x v="1"/>
    <x v="1"/>
    <s v="2025"/>
    <x v="442"/>
  </r>
  <r>
    <s v="ORD1445"/>
    <d v="2025-12-03T00:00:00"/>
    <s v="CUST588"/>
    <s v="Jason"/>
    <s v="Chapman"/>
    <s v="North Yvonne"/>
    <x v="1"/>
    <x v="5"/>
    <s v="Electronics"/>
    <n v="2"/>
    <n v="22138"/>
    <n v="44276"/>
    <x v="2"/>
    <x v="2"/>
    <x v="6"/>
    <s v="2025"/>
    <x v="443"/>
  </r>
  <r>
    <s v="ORD1446"/>
    <d v="2025-11-05T00:00:00"/>
    <s v="CUST183"/>
    <s v="Steven"/>
    <s v="Lyons"/>
    <s v="Gardnermouth"/>
    <x v="2"/>
    <x v="5"/>
    <s v="Electronics"/>
    <n v="3"/>
    <n v="65609"/>
    <n v="196827"/>
    <x v="3"/>
    <x v="2"/>
    <x v="11"/>
    <s v="2025"/>
    <x v="444"/>
  </r>
  <r>
    <s v="ORD1447"/>
    <d v="2025-07-31T00:00:00"/>
    <s v="CUST331"/>
    <s v="Kathy"/>
    <s v="Mccoy"/>
    <s v="Jeffreymouth"/>
    <x v="2"/>
    <x v="6"/>
    <s v="Electronics"/>
    <n v="1"/>
    <n v="61128"/>
    <n v="61128"/>
    <x v="3"/>
    <x v="2"/>
    <x v="8"/>
    <s v="2025"/>
    <x v="445"/>
  </r>
  <r>
    <s v="ORD1448"/>
    <d v="2025-12-05T00:00:00"/>
    <s v="CUST720"/>
    <s v="Michele"/>
    <s v="Carter"/>
    <s v="Bergerhaven"/>
    <x v="1"/>
    <x v="5"/>
    <s v="Electronics"/>
    <n v="5"/>
    <n v="73993"/>
    <n v="369965"/>
    <x v="2"/>
    <x v="1"/>
    <x v="6"/>
    <s v="2025"/>
    <x v="446"/>
  </r>
  <r>
    <s v="ORD1449"/>
    <d v="2026-03-01T00:00:00"/>
    <s v="CUST686"/>
    <s v="Erica"/>
    <s v="Brown"/>
    <s v="Haleybury"/>
    <x v="1"/>
    <x v="0"/>
    <s v="Electronics"/>
    <n v="1"/>
    <n v="48263"/>
    <n v="48263"/>
    <x v="1"/>
    <x v="2"/>
    <x v="9"/>
    <s v="2026"/>
    <x v="447"/>
  </r>
  <r>
    <s v="ORD1450"/>
    <d v="2025-11-30T00:00:00"/>
    <s v="CUST377"/>
    <s v="Adam"/>
    <s v="Stevenson"/>
    <s v="Mendozaton"/>
    <x v="2"/>
    <x v="6"/>
    <s v="Electronics"/>
    <n v="1"/>
    <n v="17938"/>
    <n v="17938"/>
    <x v="1"/>
    <x v="0"/>
    <x v="11"/>
    <s v="2025"/>
    <x v="448"/>
  </r>
  <r>
    <s v="ORD1451"/>
    <d v="2026-04-28T00:00:00"/>
    <s v="CUST454"/>
    <s v="Christopher"/>
    <s v="Schroeder"/>
    <s v="Meyershire"/>
    <x v="2"/>
    <x v="6"/>
    <s v="Electronics"/>
    <n v="1"/>
    <n v="21773"/>
    <n v="21773"/>
    <x v="3"/>
    <x v="0"/>
    <x v="3"/>
    <s v="2026"/>
    <x v="449"/>
  </r>
  <r>
    <s v="ORD1452"/>
    <d v="2025-08-13T00:00:00"/>
    <s v="CUST573"/>
    <s v="Anna"/>
    <s v="Morgan"/>
    <s v="Mcclainburgh"/>
    <x v="1"/>
    <x v="4"/>
    <s v="Electronics"/>
    <n v="1"/>
    <n v="33831"/>
    <n v="33831"/>
    <x v="1"/>
    <x v="2"/>
    <x v="4"/>
    <s v="2025"/>
    <x v="450"/>
  </r>
  <r>
    <s v="ORD1453"/>
    <d v="2025-07-21T00:00:00"/>
    <s v="CUST257"/>
    <s v="Katherine"/>
    <s v="King"/>
    <s v="East Dillonview"/>
    <x v="3"/>
    <x v="5"/>
    <s v="Electronics"/>
    <n v="2"/>
    <n v="60614"/>
    <n v="121228"/>
    <x v="3"/>
    <x v="0"/>
    <x v="8"/>
    <s v="2025"/>
    <x v="451"/>
  </r>
  <r>
    <s v="ORD1454"/>
    <d v="2025-05-12T00:00:00"/>
    <s v="CUST864"/>
    <s v="Robert"/>
    <s v="Wallace"/>
    <s v="Phillipsside"/>
    <x v="1"/>
    <x v="0"/>
    <s v="Electronics"/>
    <n v="4"/>
    <n v="55084"/>
    <n v="220336"/>
    <x v="2"/>
    <x v="2"/>
    <x v="1"/>
    <s v="2025"/>
    <x v="452"/>
  </r>
  <r>
    <s v="ORD1455"/>
    <d v="2025-09-04T00:00:00"/>
    <s v="CUST205"/>
    <s v="Nancy"/>
    <s v="Estrada"/>
    <s v="Landryville"/>
    <x v="1"/>
    <x v="6"/>
    <s v="Electronics"/>
    <n v="1"/>
    <n v="61042"/>
    <n v="61042"/>
    <x v="3"/>
    <x v="2"/>
    <x v="0"/>
    <s v="2025"/>
    <x v="453"/>
  </r>
  <r>
    <s v="ORD1456"/>
    <d v="2025-11-28T00:00:00"/>
    <s v="CUST684"/>
    <s v="Stephen"/>
    <s v="Browning"/>
    <s v="Charleschester"/>
    <x v="2"/>
    <x v="1"/>
    <s v="Electronics"/>
    <n v="1"/>
    <n v="28838"/>
    <n v="28838"/>
    <x v="0"/>
    <x v="1"/>
    <x v="11"/>
    <s v="2025"/>
    <x v="454"/>
  </r>
  <r>
    <s v="ORD1457"/>
    <d v="2025-07-31T00:00:00"/>
    <s v="CUST429"/>
    <s v="Joel"/>
    <s v="Young"/>
    <s v="South Edwardbury"/>
    <x v="0"/>
    <x v="6"/>
    <s v="Electronics"/>
    <n v="5"/>
    <n v="41845"/>
    <n v="209225"/>
    <x v="4"/>
    <x v="1"/>
    <x v="8"/>
    <s v="2025"/>
    <x v="455"/>
  </r>
  <r>
    <s v="ORD1458"/>
    <d v="2025-11-24T00:00:00"/>
    <s v="CUST758"/>
    <s v="Dana"/>
    <s v="Cuevas"/>
    <s v="Michaelstad"/>
    <x v="2"/>
    <x v="1"/>
    <s v="Electronics"/>
    <n v="2"/>
    <n v="11951"/>
    <n v="23902"/>
    <x v="1"/>
    <x v="0"/>
    <x v="11"/>
    <s v="2025"/>
    <x v="456"/>
  </r>
  <r>
    <s v="ORD1459"/>
    <d v="2026-04-25T00:00:00"/>
    <s v="CUST227"/>
    <s v="Malik"/>
    <s v="Williams"/>
    <s v="East Garyfurt"/>
    <x v="3"/>
    <x v="6"/>
    <s v="Electronics"/>
    <n v="1"/>
    <n v="38432"/>
    <n v="38432"/>
    <x v="3"/>
    <x v="0"/>
    <x v="3"/>
    <s v="2026"/>
    <x v="457"/>
  </r>
  <r>
    <s v="ORD1460"/>
    <d v="2025-11-26T00:00:00"/>
    <s v="CUST987"/>
    <s v="Christine"/>
    <s v="Cross"/>
    <s v="East Jessica"/>
    <x v="3"/>
    <x v="4"/>
    <s v="Electronics"/>
    <n v="5"/>
    <n v="25026"/>
    <n v="125130"/>
    <x v="0"/>
    <x v="2"/>
    <x v="11"/>
    <s v="2025"/>
    <x v="458"/>
  </r>
  <r>
    <s v="ORD1461"/>
    <d v="2025-12-05T00:00:00"/>
    <s v="CUST976"/>
    <s v="Hannah"/>
    <s v="Flores"/>
    <s v="Port Michelle"/>
    <x v="2"/>
    <x v="4"/>
    <s v="Electronics"/>
    <n v="5"/>
    <n v="62284"/>
    <n v="311420"/>
    <x v="2"/>
    <x v="2"/>
    <x v="6"/>
    <s v="2025"/>
    <x v="459"/>
  </r>
  <r>
    <s v="ORD1462"/>
    <d v="2026-01-09T00:00:00"/>
    <s v="CUST621"/>
    <s v="Kimberly"/>
    <s v="Carson"/>
    <s v="Michaelton"/>
    <x v="0"/>
    <x v="5"/>
    <s v="Electronics"/>
    <n v="4"/>
    <n v="14486"/>
    <n v="57944"/>
    <x v="1"/>
    <x v="0"/>
    <x v="5"/>
    <s v="2026"/>
    <x v="460"/>
  </r>
  <r>
    <s v="ORD1463"/>
    <d v="2025-05-06T00:00:00"/>
    <s v="CUST457"/>
    <s v="Janet"/>
    <s v="Weber"/>
    <s v="Erikaland"/>
    <x v="1"/>
    <x v="5"/>
    <s v="Electronics"/>
    <n v="4"/>
    <n v="39820"/>
    <n v="159280"/>
    <x v="2"/>
    <x v="1"/>
    <x v="1"/>
    <s v="2025"/>
    <x v="461"/>
  </r>
  <r>
    <s v="ORD1464"/>
    <d v="2025-07-20T00:00:00"/>
    <s v="CUST394"/>
    <s v="Jacob"/>
    <s v="Wilson"/>
    <s v="Theresafort"/>
    <x v="3"/>
    <x v="2"/>
    <s v="Electronics"/>
    <n v="2"/>
    <n v="8412"/>
    <n v="16824"/>
    <x v="1"/>
    <x v="2"/>
    <x v="8"/>
    <s v="2025"/>
    <x v="462"/>
  </r>
  <r>
    <s v="ORD1465"/>
    <d v="2025-05-01T00:00:00"/>
    <s v="CUST283"/>
    <s v="Thomas"/>
    <s v="Oconnor"/>
    <s v="Thompsonmouth"/>
    <x v="0"/>
    <x v="0"/>
    <s v="Electronics"/>
    <n v="3"/>
    <n v="5881"/>
    <n v="17643"/>
    <x v="4"/>
    <x v="0"/>
    <x v="1"/>
    <s v="2025"/>
    <x v="463"/>
  </r>
  <r>
    <s v="ORD1466"/>
    <d v="2025-12-02T00:00:00"/>
    <s v="CUST310"/>
    <s v="Ronnie"/>
    <s v="Rodriguez"/>
    <s v="Davenporthaven"/>
    <x v="3"/>
    <x v="6"/>
    <s v="Electronics"/>
    <n v="2"/>
    <n v="61678"/>
    <n v="123356"/>
    <x v="2"/>
    <x v="1"/>
    <x v="6"/>
    <s v="2025"/>
    <x v="464"/>
  </r>
  <r>
    <s v="ORD1467"/>
    <d v="2026-01-28T00:00:00"/>
    <s v="CUST130"/>
    <s v="Matthew Jones"/>
    <s v="MD"/>
    <s v="South Aaronport"/>
    <x v="2"/>
    <x v="2"/>
    <s v="Electronics"/>
    <n v="3"/>
    <n v="66497"/>
    <n v="199491"/>
    <x v="2"/>
    <x v="2"/>
    <x v="5"/>
    <s v="2026"/>
    <x v="465"/>
  </r>
  <r>
    <s v="ORD1468"/>
    <d v="2026-02-22T00:00:00"/>
    <s v="CUST178"/>
    <s v="Julie"/>
    <s v="White"/>
    <s v="Alexanderville"/>
    <x v="0"/>
    <x v="1"/>
    <s v="Electronics"/>
    <n v="3"/>
    <n v="41245"/>
    <n v="123735"/>
    <x v="0"/>
    <x v="0"/>
    <x v="2"/>
    <s v="2026"/>
    <x v="466"/>
  </r>
  <r>
    <s v="ORD1469"/>
    <d v="2026-01-28T00:00:00"/>
    <s v="CUST777"/>
    <s v="Richard"/>
    <s v="Young"/>
    <s v="Port Makaylamouth"/>
    <x v="1"/>
    <x v="1"/>
    <s v="Electronics"/>
    <n v="3"/>
    <n v="50612"/>
    <n v="151836"/>
    <x v="1"/>
    <x v="0"/>
    <x v="5"/>
    <s v="2026"/>
    <x v="251"/>
  </r>
  <r>
    <s v="ORD1470"/>
    <d v="2025-06-17T00:00:00"/>
    <s v="CUST204"/>
    <s v="Andrea"/>
    <s v="Kennedy"/>
    <s v="West Juan"/>
    <x v="3"/>
    <x v="0"/>
    <s v="Electronics"/>
    <n v="1"/>
    <n v="44975"/>
    <n v="44975"/>
    <x v="2"/>
    <x v="2"/>
    <x v="10"/>
    <s v="2025"/>
    <x v="467"/>
  </r>
  <r>
    <s v="ORD1471"/>
    <d v="2026-04-02T00:00:00"/>
    <s v="CUST242"/>
    <s v="Dakota"/>
    <s v="Hudson"/>
    <s v="North Ethanfurt"/>
    <x v="3"/>
    <x v="4"/>
    <s v="Electronics"/>
    <n v="3"/>
    <n v="43609"/>
    <n v="130827"/>
    <x v="3"/>
    <x v="2"/>
    <x v="3"/>
    <s v="2026"/>
    <x v="468"/>
  </r>
  <r>
    <s v="ORD1472"/>
    <d v="2025-09-28T00:00:00"/>
    <s v="CUST100"/>
    <s v="Timothy"/>
    <s v="Davis"/>
    <s v="Georgeburgh"/>
    <x v="3"/>
    <x v="5"/>
    <s v="Electronics"/>
    <n v="4"/>
    <n v="53112"/>
    <n v="212448"/>
    <x v="2"/>
    <x v="1"/>
    <x v="0"/>
    <s v="2025"/>
    <x v="17"/>
  </r>
  <r>
    <s v="ORD1473"/>
    <d v="2025-10-06T00:00:00"/>
    <s v="CUST496"/>
    <s v="Amy"/>
    <s v="Peterson"/>
    <s v="Kathyshire"/>
    <x v="0"/>
    <x v="1"/>
    <s v="Electronics"/>
    <n v="4"/>
    <n v="48384"/>
    <n v="193536"/>
    <x v="2"/>
    <x v="2"/>
    <x v="7"/>
    <s v="2025"/>
    <x v="469"/>
  </r>
  <r>
    <s v="ORD1474"/>
    <d v="2026-02-26T00:00:00"/>
    <s v="CUST149"/>
    <s v="Alicia Warner"/>
    <s v="DVM"/>
    <s v="Millerville"/>
    <x v="2"/>
    <x v="1"/>
    <s v="Electronics"/>
    <n v="1"/>
    <n v="22445"/>
    <n v="22445"/>
    <x v="3"/>
    <x v="0"/>
    <x v="2"/>
    <s v="2026"/>
    <x v="470"/>
  </r>
  <r>
    <s v="ORD1475"/>
    <d v="2026-02-23T00:00:00"/>
    <s v="CUST919"/>
    <s v="Ricky"/>
    <s v="Cain"/>
    <s v="North Richard"/>
    <x v="1"/>
    <x v="2"/>
    <s v="Electronics"/>
    <n v="5"/>
    <n v="15145"/>
    <n v="75725"/>
    <x v="2"/>
    <x v="0"/>
    <x v="2"/>
    <s v="2026"/>
    <x v="471"/>
  </r>
  <r>
    <s v="ORD1476"/>
    <d v="2026-03-31T00:00:00"/>
    <s v="CUST294"/>
    <s v="Miss Laura Ross"/>
    <s v="MD"/>
    <s v="North Ronald"/>
    <x v="2"/>
    <x v="4"/>
    <s v="Electronics"/>
    <n v="5"/>
    <n v="55861"/>
    <n v="279305"/>
    <x v="3"/>
    <x v="0"/>
    <x v="9"/>
    <s v="2026"/>
    <x v="472"/>
  </r>
  <r>
    <s v="ORD1477"/>
    <d v="2025-07-26T00:00:00"/>
    <s v="CUST584"/>
    <s v="Rebecca"/>
    <s v="Reynolds"/>
    <s v="Davidview"/>
    <x v="0"/>
    <x v="0"/>
    <s v="Electronics"/>
    <n v="5"/>
    <n v="4464"/>
    <n v="22320"/>
    <x v="0"/>
    <x v="2"/>
    <x v="8"/>
    <s v="2025"/>
    <x v="473"/>
  </r>
  <r>
    <s v="ORD1478"/>
    <d v="2025-09-09T00:00:00"/>
    <s v="CUST642"/>
    <s v="Danielle"/>
    <s v="Case"/>
    <s v="East Eric"/>
    <x v="2"/>
    <x v="2"/>
    <s v="Electronics"/>
    <n v="1"/>
    <n v="24698"/>
    <n v="24698"/>
    <x v="4"/>
    <x v="2"/>
    <x v="0"/>
    <s v="2025"/>
    <x v="474"/>
  </r>
  <r>
    <s v="ORD1479"/>
    <d v="2025-10-06T00:00:00"/>
    <s v="CUST338"/>
    <s v="James"/>
    <s v="Decker"/>
    <s v="Daisyview"/>
    <x v="0"/>
    <x v="2"/>
    <s v="Electronics"/>
    <n v="5"/>
    <n v="23986"/>
    <n v="119930"/>
    <x v="3"/>
    <x v="2"/>
    <x v="7"/>
    <s v="2025"/>
    <x v="475"/>
  </r>
  <r>
    <s v="ORD1480"/>
    <d v="2026-02-16T00:00:00"/>
    <s v="CUST846"/>
    <s v="Michelle"/>
    <s v="Green"/>
    <s v="Rachelport"/>
    <x v="1"/>
    <x v="3"/>
    <s v="Electronics"/>
    <n v="3"/>
    <n v="17372"/>
    <n v="52116"/>
    <x v="3"/>
    <x v="2"/>
    <x v="2"/>
    <s v="2026"/>
    <x v="476"/>
  </r>
  <r>
    <s v="ORD1481"/>
    <d v="2025-06-06T00:00:00"/>
    <s v="CUST353"/>
    <s v="Kristopher"/>
    <s v="Nelson"/>
    <s v="Joannastad"/>
    <x v="0"/>
    <x v="4"/>
    <s v="Electronics"/>
    <n v="5"/>
    <n v="75654"/>
    <n v="378270"/>
    <x v="4"/>
    <x v="0"/>
    <x v="10"/>
    <s v="2025"/>
    <x v="477"/>
  </r>
  <r>
    <s v="ORD1482"/>
    <d v="2025-08-02T00:00:00"/>
    <s v="CUST914"/>
    <s v="Christina"/>
    <s v="Jones"/>
    <s v="West Jody"/>
    <x v="3"/>
    <x v="2"/>
    <s v="Electronics"/>
    <n v="3"/>
    <n v="58351"/>
    <n v="175053"/>
    <x v="4"/>
    <x v="1"/>
    <x v="4"/>
    <s v="2025"/>
    <x v="478"/>
  </r>
  <r>
    <s v="ORD1483"/>
    <d v="2025-12-07T00:00:00"/>
    <s v="CUST660"/>
    <s v="Brittany"/>
    <s v="Hernandez"/>
    <s v="Johnsonville"/>
    <x v="2"/>
    <x v="6"/>
    <s v="Electronics"/>
    <n v="2"/>
    <n v="47048"/>
    <n v="94096"/>
    <x v="0"/>
    <x v="1"/>
    <x v="6"/>
    <s v="2025"/>
    <x v="479"/>
  </r>
  <r>
    <s v="ORD1484"/>
    <d v="2026-01-15T00:00:00"/>
    <s v="CUST986"/>
    <s v="Eric"/>
    <s v="Flores"/>
    <s v="Lake Stuart"/>
    <x v="2"/>
    <x v="3"/>
    <s v="Electronics"/>
    <n v="1"/>
    <n v="4913"/>
    <n v="4913"/>
    <x v="1"/>
    <x v="1"/>
    <x v="5"/>
    <s v="2026"/>
    <x v="480"/>
  </r>
  <r>
    <s v="ORD1485"/>
    <d v="2025-12-26T00:00:00"/>
    <s v="CUST275"/>
    <s v="John"/>
    <s v="Swanson"/>
    <s v="Rebeccashire"/>
    <x v="2"/>
    <x v="5"/>
    <s v="Electronics"/>
    <n v="3"/>
    <n v="13522"/>
    <n v="40566"/>
    <x v="4"/>
    <x v="1"/>
    <x v="6"/>
    <s v="2025"/>
    <x v="481"/>
  </r>
  <r>
    <s v="ORD1486"/>
    <d v="2025-10-14T00:00:00"/>
    <s v="CUST891"/>
    <s v="Sheila"/>
    <s v="Rodriguez"/>
    <s v="New Benjamin"/>
    <x v="1"/>
    <x v="2"/>
    <s v="Electronics"/>
    <n v="4"/>
    <n v="35126"/>
    <n v="140504"/>
    <x v="4"/>
    <x v="1"/>
    <x v="7"/>
    <s v="2025"/>
    <x v="482"/>
  </r>
  <r>
    <s v="ORD1487"/>
    <d v="2025-08-12T00:00:00"/>
    <s v="CUST688"/>
    <s v="Heather"/>
    <s v="Mercado"/>
    <s v="East Susanmouth"/>
    <x v="1"/>
    <x v="0"/>
    <s v="Electronics"/>
    <n v="4"/>
    <n v="34954"/>
    <n v="139816"/>
    <x v="3"/>
    <x v="1"/>
    <x v="4"/>
    <s v="2025"/>
    <x v="483"/>
  </r>
  <r>
    <s v="ORD1488"/>
    <d v="2026-02-25T00:00:00"/>
    <s v="CUST519"/>
    <s v="Richard"/>
    <s v="Jensen"/>
    <s v="Smithland"/>
    <x v="0"/>
    <x v="4"/>
    <s v="Electronics"/>
    <n v="3"/>
    <n v="73648"/>
    <n v="220944"/>
    <x v="3"/>
    <x v="0"/>
    <x v="2"/>
    <s v="2026"/>
    <x v="484"/>
  </r>
  <r>
    <s v="ORD1489"/>
    <d v="2026-01-22T00:00:00"/>
    <s v="CUST185"/>
    <s v="Ryan"/>
    <s v="Taylor"/>
    <s v="Mendezfort"/>
    <x v="1"/>
    <x v="1"/>
    <s v="Electronics"/>
    <n v="4"/>
    <n v="13595"/>
    <n v="54380"/>
    <x v="3"/>
    <x v="1"/>
    <x v="5"/>
    <s v="2026"/>
    <x v="485"/>
  </r>
  <r>
    <s v="ORD1490"/>
    <d v="2025-07-28T00:00:00"/>
    <s v="CUST212"/>
    <s v="Cynthia Huff"/>
    <s v="DDS"/>
    <s v="Justinstad"/>
    <x v="0"/>
    <x v="2"/>
    <s v="Electronics"/>
    <n v="3"/>
    <n v="38958"/>
    <n v="116874"/>
    <x v="4"/>
    <x v="2"/>
    <x v="8"/>
    <s v="2025"/>
    <x v="486"/>
  </r>
  <r>
    <s v="ORD1491"/>
    <d v="2026-03-17T00:00:00"/>
    <s v="CUST116"/>
    <s v="Suzanne"/>
    <s v="Johnson"/>
    <s v="Tylerborough"/>
    <x v="0"/>
    <x v="2"/>
    <s v="Electronics"/>
    <n v="2"/>
    <n v="52239"/>
    <n v="104478"/>
    <x v="2"/>
    <x v="2"/>
    <x v="9"/>
    <s v="2026"/>
    <x v="487"/>
  </r>
  <r>
    <s v="ORD1492"/>
    <d v="2026-02-01T00:00:00"/>
    <s v="CUST176"/>
    <s v="Raymond"/>
    <s v="Moore"/>
    <s v="Port Robert"/>
    <x v="0"/>
    <x v="6"/>
    <s v="Electronics"/>
    <n v="5"/>
    <n v="29340"/>
    <n v="146700"/>
    <x v="0"/>
    <x v="2"/>
    <x v="2"/>
    <s v="2026"/>
    <x v="488"/>
  </r>
  <r>
    <s v="ORD1493"/>
    <d v="2025-09-23T00:00:00"/>
    <s v="CUST182"/>
    <s v="James"/>
    <s v="Pineda"/>
    <s v="West Jessica"/>
    <x v="3"/>
    <x v="5"/>
    <s v="Electronics"/>
    <n v="2"/>
    <n v="57950"/>
    <n v="115900"/>
    <x v="2"/>
    <x v="0"/>
    <x v="0"/>
    <s v="2025"/>
    <x v="489"/>
  </r>
  <r>
    <s v="ORD1494"/>
    <d v="2025-11-28T00:00:00"/>
    <s v="CUST307"/>
    <s v="Krystal"/>
    <s v="Farrell"/>
    <s v="Rebeccaville"/>
    <x v="1"/>
    <x v="2"/>
    <s v="Electronics"/>
    <n v="5"/>
    <n v="20221"/>
    <n v="101105"/>
    <x v="1"/>
    <x v="0"/>
    <x v="11"/>
    <s v="2025"/>
    <x v="490"/>
  </r>
  <r>
    <s v="ORD1495"/>
    <d v="2026-04-20T00:00:00"/>
    <s v="CUST929"/>
    <s v="Robert"/>
    <s v="Mcgee"/>
    <s v="Steveberg"/>
    <x v="0"/>
    <x v="4"/>
    <s v="Electronics"/>
    <n v="1"/>
    <n v="5750"/>
    <n v="5750"/>
    <x v="1"/>
    <x v="1"/>
    <x v="3"/>
    <s v="2026"/>
    <x v="491"/>
  </r>
  <r>
    <s v="ORD1496"/>
    <d v="2026-02-03T00:00:00"/>
    <s v="CUST744"/>
    <s v="Martin"/>
    <s v="Potts"/>
    <s v="Jennytown"/>
    <x v="2"/>
    <x v="3"/>
    <s v="Electronics"/>
    <n v="3"/>
    <n v="7865"/>
    <n v="23595"/>
    <x v="1"/>
    <x v="2"/>
    <x v="2"/>
    <s v="2026"/>
    <x v="492"/>
  </r>
  <r>
    <s v="ORD1497"/>
    <d v="2026-04-03T00:00:00"/>
    <s v="CUST261"/>
    <s v="Valerie"/>
    <s v="Lawson"/>
    <s v="Thompsonland"/>
    <x v="1"/>
    <x v="1"/>
    <s v="Electronics"/>
    <n v="5"/>
    <n v="69921"/>
    <n v="349605"/>
    <x v="3"/>
    <x v="2"/>
    <x v="3"/>
    <s v="2026"/>
    <x v="493"/>
  </r>
  <r>
    <s v="ORD1498"/>
    <d v="2025-05-23T00:00:00"/>
    <s v="CUST307"/>
    <s v="Brenda"/>
    <s v="Duncan"/>
    <s v="Lake Ashleymouth"/>
    <x v="0"/>
    <x v="5"/>
    <s v="Electronics"/>
    <n v="1"/>
    <n v="38857"/>
    <n v="38857"/>
    <x v="2"/>
    <x v="2"/>
    <x v="1"/>
    <s v="2025"/>
    <x v="494"/>
  </r>
  <r>
    <s v="ORD1499"/>
    <d v="2026-04-10T00:00:00"/>
    <s v="CUST571"/>
    <s v="Dr. Anthony Reyes"/>
    <s v="DVM"/>
    <s v="Wongview"/>
    <x v="1"/>
    <x v="2"/>
    <s v="Electronics"/>
    <n v="1"/>
    <n v="7041"/>
    <n v="7041"/>
    <x v="2"/>
    <x v="2"/>
    <x v="3"/>
    <s v="2026"/>
    <x v="4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E62771-B2A5-4A51-88F2-3285BB583124}"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17">
    <pivotField showAll="0"/>
    <pivotField numFmtId="14" showAll="0"/>
    <pivotField showAll="0"/>
    <pivotField showAll="0"/>
    <pivotField showAll="0"/>
    <pivotField showAll="0"/>
    <pivotField axis="axisRow" showAll="0">
      <items count="5">
        <item x="1"/>
        <item x="0"/>
        <item x="3"/>
        <item x="2"/>
        <item t="default"/>
      </items>
    </pivotField>
    <pivotField showAll="0">
      <items count="8">
        <item x="6"/>
        <item x="0"/>
        <item x="4"/>
        <item x="2"/>
        <item x="5"/>
        <item x="3"/>
        <item x="1"/>
        <item t="default"/>
      </items>
    </pivotField>
    <pivotField showAll="0"/>
    <pivotField showAll="0"/>
    <pivotField showAll="0"/>
    <pivotField dataField="1" showAll="0"/>
    <pivotField showAll="0">
      <items count="6">
        <item x="0"/>
        <item x="3"/>
        <item x="2"/>
        <item x="1"/>
        <item x="4"/>
        <item t="default"/>
      </items>
    </pivotField>
    <pivotField showAll="0">
      <items count="4">
        <item x="1"/>
        <item x="0"/>
        <item x="2"/>
        <item t="default"/>
      </items>
    </pivotField>
    <pivotField showAll="0"/>
    <pivotField showAll="0"/>
    <pivotField showAll="0"/>
  </pivotFields>
  <rowFields count="1">
    <field x="6"/>
  </rowFields>
  <rowItems count="5">
    <i>
      <x/>
    </i>
    <i>
      <x v="1"/>
    </i>
    <i>
      <x v="2"/>
    </i>
    <i>
      <x v="3"/>
    </i>
    <i t="grand">
      <x/>
    </i>
  </rowItems>
  <colItems count="1">
    <i/>
  </colItems>
  <dataFields count="1">
    <dataField name="Sum of Total_Sales" fld="1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CC88D6-430D-4B29-B093-1B7597BA8780}"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1" firstHeaderRow="1" firstDataRow="1" firstDataCol="1"/>
  <pivotFields count="17">
    <pivotField showAll="0"/>
    <pivotField numFmtId="14" showAll="0"/>
    <pivotField showAll="0"/>
    <pivotField showAll="0"/>
    <pivotField showAll="0"/>
    <pivotField showAll="0"/>
    <pivotField showAll="0">
      <items count="5">
        <item x="1"/>
        <item x="0"/>
        <item x="3"/>
        <item x="2"/>
        <item t="default"/>
      </items>
    </pivotField>
    <pivotField axis="axisRow" showAll="0">
      <items count="8">
        <item x="6"/>
        <item x="0"/>
        <item x="4"/>
        <item x="2"/>
        <item x="5"/>
        <item x="3"/>
        <item x="1"/>
        <item t="default"/>
      </items>
    </pivotField>
    <pivotField showAll="0"/>
    <pivotField showAll="0"/>
    <pivotField showAll="0"/>
    <pivotField dataField="1" showAll="0"/>
    <pivotField showAll="0">
      <items count="6">
        <item x="0"/>
        <item x="3"/>
        <item x="2"/>
        <item x="1"/>
        <item x="4"/>
        <item t="default"/>
      </items>
    </pivotField>
    <pivotField showAll="0">
      <items count="4">
        <item x="1"/>
        <item x="0"/>
        <item x="2"/>
        <item t="default"/>
      </items>
    </pivotField>
    <pivotField showAll="0"/>
    <pivotField showAll="0"/>
    <pivotField showAll="0"/>
  </pivotFields>
  <rowFields count="1">
    <field x="7"/>
  </rowFields>
  <rowItems count="8">
    <i>
      <x/>
    </i>
    <i>
      <x v="1"/>
    </i>
    <i>
      <x v="2"/>
    </i>
    <i>
      <x v="3"/>
    </i>
    <i>
      <x v="4"/>
    </i>
    <i>
      <x v="5"/>
    </i>
    <i>
      <x v="6"/>
    </i>
    <i t="grand">
      <x/>
    </i>
  </rowItems>
  <colItems count="1">
    <i/>
  </colItems>
  <dataFields count="1">
    <dataField name="Sum of Total_Sales" fld="1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2B6716-B224-4BE4-94A8-7780D06BD36F}"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17">
    <pivotField showAll="0"/>
    <pivotField numFmtId="14" showAll="0"/>
    <pivotField showAll="0"/>
    <pivotField showAll="0"/>
    <pivotField showAll="0"/>
    <pivotField showAll="0"/>
    <pivotField showAll="0">
      <items count="5">
        <item x="1"/>
        <item x="0"/>
        <item x="3"/>
        <item x="2"/>
        <item t="default"/>
      </items>
    </pivotField>
    <pivotField showAll="0">
      <items count="8">
        <item x="6"/>
        <item x="0"/>
        <item x="4"/>
        <item x="2"/>
        <item x="5"/>
        <item x="3"/>
        <item x="1"/>
        <item t="default"/>
      </items>
    </pivotField>
    <pivotField showAll="0"/>
    <pivotField showAll="0"/>
    <pivotField showAll="0"/>
    <pivotField dataField="1" showAll="0"/>
    <pivotField showAll="0">
      <items count="6">
        <item x="0"/>
        <item x="3"/>
        <item x="2"/>
        <item x="1"/>
        <item x="4"/>
        <item t="default"/>
      </items>
    </pivotField>
    <pivotField showAll="0">
      <items count="4">
        <item x="1"/>
        <item x="0"/>
        <item x="2"/>
        <item t="default"/>
      </items>
    </pivotField>
    <pivotField axis="axisRow" showAll="0">
      <items count="13">
        <item x="5"/>
        <item x="2"/>
        <item x="9"/>
        <item x="3"/>
        <item x="1"/>
        <item x="10"/>
        <item x="8"/>
        <item x="4"/>
        <item x="0"/>
        <item x="7"/>
        <item x="11"/>
        <item x="6"/>
        <item t="default"/>
      </items>
    </pivotField>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Total_Sales"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BA7FC4-449D-48BE-B63B-0B10F4E92CBF}"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T3:T4" firstHeaderRow="1" firstDataRow="1" firstDataCol="0"/>
  <pivotFields count="17">
    <pivotField showAll="0"/>
    <pivotField numFmtId="14" showAll="0"/>
    <pivotField showAll="0"/>
    <pivotField showAll="0"/>
    <pivotField showAll="0"/>
    <pivotField showAll="0"/>
    <pivotField showAll="0">
      <items count="5">
        <item x="1"/>
        <item x="0"/>
        <item x="3"/>
        <item x="2"/>
        <item t="default"/>
      </items>
    </pivotField>
    <pivotField showAll="0">
      <items count="8">
        <item x="6"/>
        <item x="0"/>
        <item x="4"/>
        <item x="2"/>
        <item x="5"/>
        <item x="3"/>
        <item x="1"/>
        <item t="default"/>
      </items>
    </pivotField>
    <pivotField showAll="0"/>
    <pivotField showAll="0"/>
    <pivotField showAll="0"/>
    <pivotField dataField="1" showAll="0"/>
    <pivotField showAll="0">
      <items count="6">
        <item x="0"/>
        <item x="3"/>
        <item x="2"/>
        <item x="1"/>
        <item x="4"/>
        <item t="default"/>
      </items>
    </pivotField>
    <pivotField showAll="0">
      <items count="4">
        <item x="1"/>
        <item x="0"/>
        <item x="2"/>
        <item t="default"/>
      </items>
    </pivotField>
    <pivotField showAll="0"/>
    <pivotField showAll="0"/>
    <pivotField showAll="0"/>
  </pivotFields>
  <rowItems count="1">
    <i/>
  </rowItems>
  <colItems count="1">
    <i/>
  </colItems>
  <dataFields count="1">
    <dataField name="Total Revenue" fld="11" baseField="0" baseItem="1721394256"/>
  </dataFields>
  <formats count="5">
    <format dxfId="4">
      <pivotArea dataOnly="0" outline="0" axis="axisValues" fieldPosition="0"/>
    </format>
    <format dxfId="3">
      <pivotArea dataOnly="0" outline="0" axis="axisValues" fieldPosition="0"/>
    </format>
    <format dxfId="2">
      <pivotArea dataOnly="0" outline="0" axis="axisValues"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24FBC0-494C-4FD0-A36E-4EBB8DEE6E66}"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7">
    <pivotField showAll="0"/>
    <pivotField numFmtId="14" showAll="0"/>
    <pivotField showAll="0"/>
    <pivotField showAll="0"/>
    <pivotField showAll="0"/>
    <pivotField showAll="0"/>
    <pivotField showAll="0">
      <items count="5">
        <item x="1"/>
        <item x="0"/>
        <item x="3"/>
        <item x="2"/>
        <item t="default"/>
      </items>
    </pivotField>
    <pivotField showAll="0">
      <items count="8">
        <item x="6"/>
        <item x="0"/>
        <item x="4"/>
        <item x="2"/>
        <item x="5"/>
        <item x="3"/>
        <item x="1"/>
        <item t="default"/>
      </items>
    </pivotField>
    <pivotField showAll="0"/>
    <pivotField showAll="0"/>
    <pivotField showAll="0"/>
    <pivotField dataField="1" showAll="0"/>
    <pivotField showAll="0">
      <items count="6">
        <item x="0"/>
        <item x="3"/>
        <item x="2"/>
        <item x="1"/>
        <item x="4"/>
        <item t="default"/>
      </items>
    </pivotField>
    <pivotField showAll="0">
      <items count="4">
        <item x="1"/>
        <item x="0"/>
        <item x="2"/>
        <item t="default"/>
      </items>
    </pivotField>
    <pivotField showAll="0"/>
    <pivotField showAll="0"/>
    <pivotField showAll="0"/>
  </pivotFields>
  <rowItems count="1">
    <i/>
  </rowItems>
  <colItems count="1">
    <i/>
  </colItems>
  <dataFields count="1">
    <dataField name="Sum of Total_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4E9E8C-743A-4E13-9542-51C13379B692}"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7">
    <pivotField showAll="0"/>
    <pivotField numFmtId="14" showAll="0"/>
    <pivotField showAll="0"/>
    <pivotField showAll="0"/>
    <pivotField showAll="0"/>
    <pivotField showAll="0"/>
    <pivotField showAll="0">
      <items count="5">
        <item x="1"/>
        <item x="0"/>
        <item x="3"/>
        <item x="2"/>
        <item t="default"/>
      </items>
    </pivotField>
    <pivotField showAll="0">
      <items count="8">
        <item x="6"/>
        <item x="0"/>
        <item x="4"/>
        <item x="2"/>
        <item x="5"/>
        <item x="3"/>
        <item x="1"/>
        <item t="default"/>
      </items>
    </pivotField>
    <pivotField showAll="0"/>
    <pivotField showAll="0"/>
    <pivotField showAll="0"/>
    <pivotField dataField="1" showAll="0"/>
    <pivotField showAll="0">
      <items count="6">
        <item x="0"/>
        <item x="3"/>
        <item x="2"/>
        <item x="1"/>
        <item x="4"/>
        <item t="default"/>
      </items>
    </pivotField>
    <pivotField showAll="0">
      <items count="4">
        <item x="1"/>
        <item x="0"/>
        <item x="2"/>
        <item t="default"/>
      </items>
    </pivotField>
    <pivotField showAll="0"/>
    <pivotField showAll="0"/>
    <pivotField axis="axisRow" showAll="0" measureFilter="1">
      <items count="497">
        <item x="247"/>
        <item x="389"/>
        <item x="246"/>
        <item x="20"/>
        <item x="448"/>
        <item x="297"/>
        <item x="137"/>
        <item x="113"/>
        <item x="355"/>
        <item x="47"/>
        <item x="441"/>
        <item x="470"/>
        <item x="284"/>
        <item x="382"/>
        <item x="11"/>
        <item x="340"/>
        <item x="424"/>
        <item x="374"/>
        <item x="469"/>
        <item x="467"/>
        <item x="188"/>
        <item x="38"/>
        <item x="134"/>
        <item x="201"/>
        <item x="269"/>
        <item x="258"/>
        <item x="321"/>
        <item x="3"/>
        <item x="225"/>
        <item x="388"/>
        <item x="363"/>
        <item x="52"/>
        <item x="7"/>
        <item x="353"/>
        <item x="337"/>
        <item x="307"/>
        <item x="95"/>
        <item x="359"/>
        <item x="345"/>
        <item x="450"/>
        <item x="171"/>
        <item x="306"/>
        <item x="60"/>
        <item x="105"/>
        <item x="375"/>
        <item x="27"/>
        <item x="392"/>
        <item x="10"/>
        <item x="12"/>
        <item x="328"/>
        <item x="69"/>
        <item x="232"/>
        <item x="323"/>
        <item x="87"/>
        <item x="238"/>
        <item x="416"/>
        <item x="287"/>
        <item x="235"/>
        <item x="494"/>
        <item x="414"/>
        <item x="116"/>
        <item x="244"/>
        <item x="299"/>
        <item x="230"/>
        <item x="262"/>
        <item x="74"/>
        <item x="413"/>
        <item x="210"/>
        <item x="479"/>
        <item x="139"/>
        <item x="329"/>
        <item x="428"/>
        <item x="102"/>
        <item x="0"/>
        <item x="319"/>
        <item x="352"/>
        <item x="422"/>
        <item x="342"/>
        <item x="399"/>
        <item x="53"/>
        <item x="242"/>
        <item x="291"/>
        <item x="407"/>
        <item x="371"/>
        <item x="140"/>
        <item x="132"/>
        <item x="108"/>
        <item x="107"/>
        <item x="231"/>
        <item x="478"/>
        <item x="458"/>
        <item x="243"/>
        <item x="117"/>
        <item x="177"/>
        <item x="393"/>
        <item x="356"/>
        <item x="200"/>
        <item x="449"/>
        <item x="168"/>
        <item x="57"/>
        <item x="78"/>
        <item x="272"/>
        <item x="182"/>
        <item x="37"/>
        <item x="279"/>
        <item x="295"/>
        <item x="82"/>
        <item x="395"/>
        <item x="364"/>
        <item x="118"/>
        <item x="24"/>
        <item x="59"/>
        <item x="263"/>
        <item x="55"/>
        <item x="369"/>
        <item x="486"/>
        <item x="468"/>
        <item x="91"/>
        <item x="456"/>
        <item x="327"/>
        <item x="366"/>
        <item x="159"/>
        <item x="474"/>
        <item x="1"/>
        <item x="175"/>
        <item x="343"/>
        <item x="386"/>
        <item x="362"/>
        <item x="209"/>
        <item x="99"/>
        <item x="436"/>
        <item x="192"/>
        <item x="271"/>
        <item x="338"/>
        <item x="350"/>
        <item x="202"/>
        <item x="164"/>
        <item x="390"/>
        <item x="66"/>
        <item x="249"/>
        <item x="408"/>
        <item x="153"/>
        <item x="440"/>
        <item x="130"/>
        <item x="495"/>
        <item x="296"/>
        <item x="224"/>
        <item x="237"/>
        <item x="35"/>
        <item x="378"/>
        <item x="330"/>
        <item x="144"/>
        <item x="40"/>
        <item x="270"/>
        <item x="165"/>
        <item x="308"/>
        <item x="438"/>
        <item x="194"/>
        <item x="185"/>
        <item x="373"/>
        <item x="357"/>
        <item x="405"/>
        <item x="480"/>
        <item x="310"/>
        <item x="214"/>
        <item x="4"/>
        <item x="248"/>
        <item x="447"/>
        <item x="13"/>
        <item x="92"/>
        <item x="320"/>
        <item x="288"/>
        <item x="29"/>
        <item x="156"/>
        <item x="275"/>
        <item x="351"/>
        <item x="172"/>
        <item x="179"/>
        <item x="459"/>
        <item x="432"/>
        <item x="314"/>
        <item x="379"/>
        <item x="483"/>
        <item x="250"/>
        <item x="415"/>
        <item x="62"/>
        <item x="124"/>
        <item x="430"/>
        <item x="462"/>
        <item x="348"/>
        <item x="312"/>
        <item x="189"/>
        <item x="475"/>
        <item x="322"/>
        <item x="434"/>
        <item x="489"/>
        <item x="278"/>
        <item x="112"/>
        <item x="301"/>
        <item x="203"/>
        <item x="461"/>
        <item x="148"/>
        <item x="421"/>
        <item x="443"/>
        <item x="97"/>
        <item x="6"/>
        <item x="400"/>
        <item x="181"/>
        <item x="418"/>
        <item x="292"/>
        <item x="383"/>
        <item x="339"/>
        <item x="191"/>
        <item x="236"/>
        <item x="88"/>
        <item x="239"/>
        <item x="2"/>
        <item x="133"/>
        <item x="391"/>
        <item x="411"/>
        <item x="344"/>
        <item x="317"/>
        <item x="406"/>
        <item x="146"/>
        <item x="341"/>
        <item x="157"/>
        <item x="431"/>
        <item x="455"/>
        <item x="187"/>
        <item x="233"/>
        <item x="273"/>
        <item x="481"/>
        <item x="196"/>
        <item x="425"/>
        <item x="417"/>
        <item x="303"/>
        <item x="208"/>
        <item x="426"/>
        <item x="402"/>
        <item x="318"/>
        <item x="111"/>
        <item x="282"/>
        <item x="205"/>
        <item x="126"/>
        <item x="398"/>
        <item x="34"/>
        <item x="396"/>
        <item x="68"/>
        <item x="31"/>
        <item x="39"/>
        <item x="128"/>
        <item x="300"/>
        <item x="466"/>
        <item x="167"/>
        <item x="98"/>
        <item x="226"/>
        <item x="240"/>
        <item x="333"/>
        <item x="451"/>
        <item x="44"/>
        <item x="152"/>
        <item x="176"/>
        <item x="445"/>
        <item x="207"/>
        <item x="190"/>
        <item x="305"/>
        <item x="138"/>
        <item x="143"/>
        <item x="77"/>
        <item x="276"/>
        <item x="184"/>
        <item x="216"/>
        <item x="65"/>
        <item x="106"/>
        <item x="261"/>
        <item x="309"/>
        <item x="183"/>
        <item x="460"/>
        <item x="73"/>
        <item x="161"/>
        <item x="45"/>
        <item x="220"/>
        <item x="67"/>
        <item x="277"/>
        <item x="477"/>
        <item x="490"/>
        <item x="96"/>
        <item x="21"/>
        <item x="218"/>
        <item x="419"/>
        <item x="380"/>
        <item x="174"/>
        <item x="324"/>
        <item x="170"/>
        <item x="252"/>
        <item x="331"/>
        <item x="433"/>
        <item x="89"/>
        <item x="290"/>
        <item x="265"/>
        <item x="234"/>
        <item x="401"/>
        <item x="227"/>
        <item x="154"/>
        <item x="267"/>
        <item x="22"/>
        <item x="409"/>
        <item x="370"/>
        <item x="223"/>
        <item x="193"/>
        <item x="283"/>
        <item x="86"/>
        <item x="457"/>
        <item x="80"/>
        <item x="61"/>
        <item x="245"/>
        <item x="101"/>
        <item x="334"/>
        <item x="64"/>
        <item x="429"/>
        <item x="150"/>
        <item x="206"/>
        <item x="50"/>
        <item x="90"/>
        <item x="46"/>
        <item x="195"/>
        <item x="9"/>
        <item x="72"/>
        <item x="492"/>
        <item x="160"/>
        <item x="268"/>
        <item x="142"/>
        <item x="435"/>
        <item x="115"/>
        <item x="127"/>
        <item x="465"/>
        <item x="358"/>
        <item x="412"/>
        <item x="228"/>
        <item x="48"/>
        <item x="211"/>
        <item x="365"/>
        <item x="372"/>
        <item x="394"/>
        <item x="75"/>
        <item x="294"/>
        <item x="23"/>
        <item x="147"/>
        <item x="83"/>
        <item x="151"/>
        <item x="25"/>
        <item x="446"/>
        <item x="285"/>
        <item x="476"/>
        <item x="149"/>
        <item x="427"/>
        <item x="253"/>
        <item x="41"/>
        <item x="335"/>
        <item x="472"/>
        <item x="85"/>
        <item x="121"/>
        <item x="114"/>
        <item x="229"/>
        <item x="453"/>
        <item x="420"/>
        <item x="166"/>
        <item x="304"/>
        <item x="241"/>
        <item x="28"/>
        <item x="178"/>
        <item x="197"/>
        <item x="51"/>
        <item x="180"/>
        <item x="123"/>
        <item x="219"/>
        <item x="199"/>
        <item x="129"/>
        <item x="19"/>
        <item x="16"/>
        <item x="254"/>
        <item x="173"/>
        <item x="84"/>
        <item x="361"/>
        <item x="32"/>
        <item x="71"/>
        <item x="198"/>
        <item x="8"/>
        <item x="488"/>
        <item x="215"/>
        <item x="473"/>
        <item x="70"/>
        <item x="484"/>
        <item x="125"/>
        <item x="251"/>
        <item x="471"/>
        <item x="43"/>
        <item x="49"/>
        <item x="347"/>
        <item x="437"/>
        <item x="54"/>
        <item x="76"/>
        <item x="119"/>
        <item x="491"/>
        <item x="255"/>
        <item x="222"/>
        <item x="403"/>
        <item x="293"/>
        <item x="452"/>
        <item x="136"/>
        <item x="14"/>
        <item x="15"/>
        <item x="56"/>
        <item x="122"/>
        <item x="464"/>
        <item x="135"/>
        <item x="100"/>
        <item x="281"/>
        <item x="368"/>
        <item x="404"/>
        <item x="485"/>
        <item x="442"/>
        <item x="376"/>
        <item x="131"/>
        <item x="385"/>
        <item x="81"/>
        <item x="387"/>
        <item x="349"/>
        <item x="298"/>
        <item x="120"/>
        <item x="204"/>
        <item x="79"/>
        <item x="163"/>
        <item x="5"/>
        <item x="313"/>
        <item x="259"/>
        <item x="260"/>
        <item x="286"/>
        <item x="482"/>
        <item x="264"/>
        <item x="397"/>
        <item x="33"/>
        <item x="155"/>
        <item x="217"/>
        <item x="360"/>
        <item x="158"/>
        <item x="454"/>
        <item x="316"/>
        <item x="302"/>
        <item x="444"/>
        <item x="186"/>
        <item x="325"/>
        <item x="336"/>
        <item x="162"/>
        <item x="487"/>
        <item x="280"/>
        <item x="311"/>
        <item x="256"/>
        <item x="266"/>
        <item x="26"/>
        <item x="257"/>
        <item x="384"/>
        <item x="110"/>
        <item x="354"/>
        <item x="439"/>
        <item x="289"/>
        <item x="463"/>
        <item x="381"/>
        <item x="367"/>
        <item x="36"/>
        <item x="377"/>
        <item x="42"/>
        <item x="141"/>
        <item x="109"/>
        <item x="94"/>
        <item x="274"/>
        <item x="17"/>
        <item x="423"/>
        <item x="103"/>
        <item x="332"/>
        <item x="58"/>
        <item x="213"/>
        <item x="493"/>
        <item x="169"/>
        <item x="326"/>
        <item x="93"/>
        <item x="18"/>
        <item x="104"/>
        <item x="410"/>
        <item x="30"/>
        <item x="212"/>
        <item x="145"/>
        <item x="221"/>
        <item x="63"/>
        <item x="315"/>
        <item x="346"/>
        <item t="default"/>
      </items>
    </pivotField>
  </pivotFields>
  <rowFields count="1">
    <field x="16"/>
  </rowFields>
  <rowItems count="6">
    <i>
      <x v="5"/>
    </i>
    <i>
      <x v="284"/>
    </i>
    <i>
      <x v="351"/>
    </i>
    <i>
      <x v="382"/>
    </i>
    <i>
      <x v="396"/>
    </i>
    <i t="grand">
      <x/>
    </i>
  </rowItems>
  <colItems count="1">
    <i/>
  </colItems>
  <dataFields count="1">
    <dataField name="Sum of Total_Sales"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7AA3129-C414-4E4A-B131-F2824276A306}" autoFormatId="16" applyNumberFormats="0" applyBorderFormats="0" applyFontFormats="0" applyPatternFormats="0" applyAlignmentFormats="0" applyWidthHeightFormats="0">
  <queryTableRefresh nextId="18" unboundColumnsRight="3">
    <queryTableFields count="17">
      <queryTableField id="1" name="Order_ID" tableColumnId="1"/>
      <queryTableField id="2" name="Order_Date" tableColumnId="2"/>
      <queryTableField id="3" name="Customer_ID" tableColumnId="3"/>
      <queryTableField id="4" name="First_Name" tableColumnId="4"/>
      <queryTableField id="5" name="Last_Name" tableColumnId="5"/>
      <queryTableField id="6" name="City" tableColumnId="6"/>
      <queryTableField id="7" name="Region" tableColumnId="7"/>
      <queryTableField id="8" name="Product" tableColumnId="8"/>
      <queryTableField id="9" name="Category" tableColumnId="9"/>
      <queryTableField id="10" name="Quantity" tableColumnId="10"/>
      <queryTableField id="11" name="Unit_Price" tableColumnId="11"/>
      <queryTableField id="12" name="Total_Sales" tableColumnId="12"/>
      <queryTableField id="13" name="Payment_Method" tableColumnId="13"/>
      <queryTableField id="14" name="Order_Status" tableColumnId="14"/>
      <queryTableField id="15" dataBound="0"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93E1C8-F652-47A7-978B-96006F37CF99}" sourceName="Region">
  <pivotTables>
    <pivotTable tabId="5" name="PivotTable2"/>
    <pivotTable tabId="12" name="PivotTable4"/>
    <pivotTable tabId="7" name="PivotTable4"/>
    <pivotTable tabId="6" name="PivotTable3"/>
    <pivotTable tabId="11" name="PivotTable2"/>
    <pivotTable tabId="9" name="PivotTable3"/>
  </pivotTables>
  <data>
    <tabular pivotCacheId="632928923">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ECFD804-6DBC-413A-B738-608F4E1D5BAE}" sourceName="Product">
  <pivotTables>
    <pivotTable tabId="5" name="PivotTable2"/>
    <pivotTable tabId="12" name="PivotTable4"/>
    <pivotTable tabId="7" name="PivotTable4"/>
    <pivotTable tabId="6" name="PivotTable3"/>
    <pivotTable tabId="11" name="PivotTable2"/>
    <pivotTable tabId="9" name="PivotTable3"/>
  </pivotTables>
  <data>
    <tabular pivotCacheId="632928923">
      <items count="7">
        <i x="6" s="1"/>
        <i x="0" s="1"/>
        <i x="4" s="1"/>
        <i x="2" s="1"/>
        <i x="5"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0A5DB36-B358-4B02-A72E-0B75AFAE7CB7}" sourceName="Payment_Method">
  <pivotTables>
    <pivotTable tabId="5" name="PivotTable2"/>
    <pivotTable tabId="12" name="PivotTable4"/>
    <pivotTable tabId="7" name="PivotTable4"/>
    <pivotTable tabId="6" name="PivotTable3"/>
    <pivotTable tabId="11" name="PivotTable2"/>
    <pivotTable tabId="9" name="PivotTable3"/>
  </pivotTables>
  <data>
    <tabular pivotCacheId="632928923">
      <items count="5">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83BBDA5-7BDD-4317-9704-A29E40D56899}" sourceName="Order_Status">
  <pivotTables>
    <pivotTable tabId="5" name="PivotTable2"/>
    <pivotTable tabId="12" name="PivotTable4"/>
    <pivotTable tabId="7" name="PivotTable4"/>
    <pivotTable tabId="6" name="PivotTable3"/>
    <pivotTable tabId="11" name="PivotTable2"/>
    <pivotTable tabId="9" name="PivotTable3"/>
  </pivotTables>
  <data>
    <tabular pivotCacheId="63292892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13D25A-70C3-4116-AB3B-989DC1A89ABD}" cache="Slicer_Region" caption="Region" rowHeight="241300"/>
  <slicer name="Product" xr10:uid="{44F2788C-1D01-486A-AF83-E2DB4F11CB6A}" cache="Slicer_Product" caption="Product" rowHeight="241300"/>
  <slicer name="Payment_Method" xr10:uid="{01844719-2291-4ABD-A186-FC7F03B40C87}" cache="Slicer_Payment_Method" caption="Payment_Method" rowHeight="241300"/>
  <slicer name="Order_Status" xr10:uid="{A056D0F6-2F1F-4745-B70C-5BCBD8EDE994}" cache="Slicer_Order_Status" caption="Order_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126A75-244B-484E-84BB-4A2DBFA60A51}" name="SalesDataset" displayName="SalesDataset" ref="A1:Q501" tableType="queryTable" totalsRowShown="0">
  <autoFilter ref="A1:Q501" xr:uid="{80BE662E-313A-4D57-8627-16233A7A0B32}"/>
  <tableColumns count="17">
    <tableColumn id="1" xr3:uid="{16F53452-A2A2-4AF8-8433-97D31FF75C53}" uniqueName="1" name="Order_ID" queryTableFieldId="1" dataDxfId="18"/>
    <tableColumn id="2" xr3:uid="{DA789F35-614A-4FCD-9A14-37435ADFF024}" uniqueName="2" name="Order_Date" queryTableFieldId="2" dataDxfId="17"/>
    <tableColumn id="3" xr3:uid="{CA0BAA78-E219-41FA-A225-59FF2C574E83}" uniqueName="3" name="Customer_ID" queryTableFieldId="3" dataDxfId="16"/>
    <tableColumn id="4" xr3:uid="{A5663B78-47CB-4C83-BA7A-136DA10EB557}" uniqueName="4" name="First_Name" queryTableFieldId="4" dataDxfId="15"/>
    <tableColumn id="5" xr3:uid="{EBCB03A3-5549-4365-82CC-D75277104448}" uniqueName="5" name="Last_Name" queryTableFieldId="5" dataDxfId="14"/>
    <tableColumn id="6" xr3:uid="{6E7D3911-8A16-4734-AFA9-4415B4A1621E}" uniqueName="6" name="City" queryTableFieldId="6" dataDxfId="13"/>
    <tableColumn id="7" xr3:uid="{EBF33762-10E5-4017-AD4E-9761BDDB25DA}" uniqueName="7" name="Region" queryTableFieldId="7" dataDxfId="12"/>
    <tableColumn id="8" xr3:uid="{4D1DF9EC-49D6-4BC3-A924-E14DD82255F3}" uniqueName="8" name="Product" queryTableFieldId="8" dataDxfId="11"/>
    <tableColumn id="9" xr3:uid="{E0F4181E-D060-4659-B4DC-38AC3C7586D4}" uniqueName="9" name="Category" queryTableFieldId="9" dataDxfId="10"/>
    <tableColumn id="10" xr3:uid="{A95282C3-4A0D-4FD5-A493-4D2A183BAA1F}" uniqueName="10" name="Quantity" queryTableFieldId="10"/>
    <tableColumn id="11" xr3:uid="{DA14372D-4A97-4ABD-99C9-2526EC63CC17}" uniqueName="11" name="Unit_Price" queryTableFieldId="11"/>
    <tableColumn id="12" xr3:uid="{7D9FFF88-84D0-4A23-8C8C-882A3D02B5CA}" uniqueName="12" name="Total_Sales" queryTableFieldId="12"/>
    <tableColumn id="13" xr3:uid="{AD7F665A-F30A-453B-9884-A2B5CA5239B1}" uniqueName="13" name="Payment_Method" queryTableFieldId="13" dataDxfId="9"/>
    <tableColumn id="14" xr3:uid="{0ED64594-D94C-48FF-ACF4-DCB8572D2332}" uniqueName="14" name="Order_Status" queryTableFieldId="14" dataDxfId="8"/>
    <tableColumn id="15" xr3:uid="{07F11747-DBF8-4263-9A44-07BDC2CCBAB3}" uniqueName="15" name="Month" queryTableFieldId="15" dataDxfId="7">
      <calculatedColumnFormula>TEXT(SalesDataset[[#This Row],[Order_Date]],"mmm")</calculatedColumnFormula>
    </tableColumn>
    <tableColumn id="16" xr3:uid="{9D064CCF-FC81-4EB9-8D48-4A48F6DEB11A}" uniqueName="16" name="Year" queryTableFieldId="16" dataDxfId="6">
      <calculatedColumnFormula>TEXT(SalesDataset[[#This Row],[Order_Date]],"YYYY")</calculatedColumnFormula>
    </tableColumn>
    <tableColumn id="17" xr3:uid="{F403A19C-C44B-4E27-975C-60EBA4254F47}" uniqueName="17" name="Customer_Name" queryTableFieldId="17" dataDxfId="5">
      <calculatedColumnFormula>_xlfn.TEXTJOIN(" ",TRUE,SalesDataset[[#This Row],[First_Name]],SalesDataset[[#This Row],[Last_Name]])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79EEB-2F88-4510-B4B4-4459E08A94FC}">
  <dimension ref="A3:B8"/>
  <sheetViews>
    <sheetView workbookViewId="0">
      <selection activeCell="B3" sqref="B3"/>
    </sheetView>
  </sheetViews>
  <sheetFormatPr defaultRowHeight="15" x14ac:dyDescent="0.25"/>
  <cols>
    <col min="1" max="1" width="13.140625" bestFit="1" customWidth="1"/>
    <col min="2" max="2" width="17.85546875" bestFit="1" customWidth="1"/>
  </cols>
  <sheetData>
    <row r="3" spans="1:2" x14ac:dyDescent="0.25">
      <c r="A3" s="3" t="s">
        <v>1969</v>
      </c>
      <c r="B3" t="s">
        <v>1968</v>
      </c>
    </row>
    <row r="4" spans="1:2" x14ac:dyDescent="0.25">
      <c r="A4" s="4" t="s">
        <v>29</v>
      </c>
      <c r="B4" s="1">
        <v>13371858</v>
      </c>
    </row>
    <row r="5" spans="1:2" x14ac:dyDescent="0.25">
      <c r="A5" s="4" t="s">
        <v>19</v>
      </c>
      <c r="B5" s="1">
        <v>20330367</v>
      </c>
    </row>
    <row r="6" spans="1:2" x14ac:dyDescent="0.25">
      <c r="A6" s="4" t="s">
        <v>102</v>
      </c>
      <c r="B6" s="1">
        <v>11195974</v>
      </c>
    </row>
    <row r="7" spans="1:2" x14ac:dyDescent="0.25">
      <c r="A7" s="4" t="s">
        <v>44</v>
      </c>
      <c r="B7" s="1">
        <v>12143536</v>
      </c>
    </row>
    <row r="8" spans="1:2" x14ac:dyDescent="0.25">
      <c r="A8" s="4" t="s">
        <v>1970</v>
      </c>
      <c r="B8" s="1">
        <v>57041735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96DB1-721C-40B0-B3BA-AE184826378E}">
  <dimension ref="A3:B11"/>
  <sheetViews>
    <sheetView zoomScale="70" zoomScaleNormal="70" workbookViewId="0">
      <selection activeCell="B7" sqref="B7"/>
    </sheetView>
  </sheetViews>
  <sheetFormatPr defaultRowHeight="15" x14ac:dyDescent="0.25"/>
  <cols>
    <col min="1" max="1" width="13.140625" bestFit="1" customWidth="1"/>
    <col min="2" max="2" width="17.85546875" bestFit="1" customWidth="1"/>
  </cols>
  <sheetData>
    <row r="3" spans="1:2" x14ac:dyDescent="0.25">
      <c r="A3" s="3" t="s">
        <v>1969</v>
      </c>
      <c r="B3" t="s">
        <v>1968</v>
      </c>
    </row>
    <row r="4" spans="1:2" x14ac:dyDescent="0.25">
      <c r="A4" s="4" t="s">
        <v>92</v>
      </c>
      <c r="B4" s="1">
        <v>9161986</v>
      </c>
    </row>
    <row r="5" spans="1:2" x14ac:dyDescent="0.25">
      <c r="A5" s="4" t="s">
        <v>20</v>
      </c>
      <c r="B5" s="1">
        <v>6357849</v>
      </c>
    </row>
    <row r="6" spans="1:2" x14ac:dyDescent="0.25">
      <c r="A6" s="4" t="s">
        <v>62</v>
      </c>
      <c r="B6" s="1">
        <v>9447220</v>
      </c>
    </row>
    <row r="7" spans="1:2" x14ac:dyDescent="0.25">
      <c r="A7" s="4" t="s">
        <v>37</v>
      </c>
      <c r="B7" s="1">
        <v>8924585</v>
      </c>
    </row>
    <row r="8" spans="1:2" x14ac:dyDescent="0.25">
      <c r="A8" s="4" t="s">
        <v>80</v>
      </c>
      <c r="B8" s="1">
        <v>8586807</v>
      </c>
    </row>
    <row r="9" spans="1:2" x14ac:dyDescent="0.25">
      <c r="A9" s="4" t="s">
        <v>45</v>
      </c>
      <c r="B9" s="1">
        <v>6505263</v>
      </c>
    </row>
    <row r="10" spans="1:2" x14ac:dyDescent="0.25">
      <c r="A10" s="4" t="s">
        <v>30</v>
      </c>
      <c r="B10" s="1">
        <v>8058025</v>
      </c>
    </row>
    <row r="11" spans="1:2" x14ac:dyDescent="0.25">
      <c r="A11" s="4" t="s">
        <v>1970</v>
      </c>
      <c r="B11" s="1">
        <v>57041735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7B62-D02A-4F23-9659-0D394081A2C3}">
  <dimension ref="A3:B16"/>
  <sheetViews>
    <sheetView workbookViewId="0">
      <selection activeCell="B9" sqref="B9"/>
    </sheetView>
  </sheetViews>
  <sheetFormatPr defaultRowHeight="15" x14ac:dyDescent="0.25"/>
  <cols>
    <col min="1" max="1" width="13.140625" bestFit="1" customWidth="1"/>
    <col min="2" max="2" width="17.85546875" bestFit="1" customWidth="1"/>
  </cols>
  <sheetData>
    <row r="3" spans="1:2" x14ac:dyDescent="0.25">
      <c r="A3" s="3" t="s">
        <v>1969</v>
      </c>
      <c r="B3" t="s">
        <v>1968</v>
      </c>
    </row>
    <row r="4" spans="1:2" x14ac:dyDescent="0.25">
      <c r="A4" s="4" t="s">
        <v>1971</v>
      </c>
      <c r="B4" s="1">
        <v>4403707</v>
      </c>
    </row>
    <row r="5" spans="1:2" x14ac:dyDescent="0.25">
      <c r="A5" s="4" t="s">
        <v>1972</v>
      </c>
      <c r="B5" s="1">
        <v>3987539</v>
      </c>
    </row>
    <row r="6" spans="1:2" x14ac:dyDescent="0.25">
      <c r="A6" s="4" t="s">
        <v>1973</v>
      </c>
      <c r="B6" s="1">
        <v>5720295</v>
      </c>
    </row>
    <row r="7" spans="1:2" x14ac:dyDescent="0.25">
      <c r="A7" s="4" t="s">
        <v>1974</v>
      </c>
      <c r="B7" s="1">
        <v>5763235</v>
      </c>
    </row>
    <row r="8" spans="1:2" x14ac:dyDescent="0.25">
      <c r="A8" s="4" t="s">
        <v>1975</v>
      </c>
      <c r="B8" s="1">
        <v>3284800</v>
      </c>
    </row>
    <row r="9" spans="1:2" x14ac:dyDescent="0.25">
      <c r="A9" s="4" t="s">
        <v>1976</v>
      </c>
      <c r="B9" s="1">
        <v>3982648</v>
      </c>
    </row>
    <row r="10" spans="1:2" x14ac:dyDescent="0.25">
      <c r="A10" s="4" t="s">
        <v>1977</v>
      </c>
      <c r="B10" s="1">
        <v>4253412</v>
      </c>
    </row>
    <row r="11" spans="1:2" x14ac:dyDescent="0.25">
      <c r="A11" s="4" t="s">
        <v>1978</v>
      </c>
      <c r="B11" s="1">
        <v>4615404</v>
      </c>
    </row>
    <row r="12" spans="1:2" x14ac:dyDescent="0.25">
      <c r="A12" s="4" t="s">
        <v>1979</v>
      </c>
      <c r="B12" s="1">
        <v>4992459</v>
      </c>
    </row>
    <row r="13" spans="1:2" x14ac:dyDescent="0.25">
      <c r="A13" s="4" t="s">
        <v>1980</v>
      </c>
      <c r="B13" s="1">
        <v>5094613</v>
      </c>
    </row>
    <row r="14" spans="1:2" x14ac:dyDescent="0.25">
      <c r="A14" s="4" t="s">
        <v>1981</v>
      </c>
      <c r="B14" s="1">
        <v>4605902</v>
      </c>
    </row>
    <row r="15" spans="1:2" x14ac:dyDescent="0.25">
      <c r="A15" s="4" t="s">
        <v>1982</v>
      </c>
      <c r="B15" s="1">
        <v>6337721</v>
      </c>
    </row>
    <row r="16" spans="1:2" x14ac:dyDescent="0.25">
      <c r="A16" s="4" t="s">
        <v>1970</v>
      </c>
      <c r="B16" s="1">
        <v>57041735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A75D4-0C87-4310-AF27-DAE450E3ED7D}">
  <dimension ref="A1:AR131"/>
  <sheetViews>
    <sheetView tabSelected="1" zoomScale="82" zoomScaleNormal="82" workbookViewId="0">
      <selection activeCell="T4" sqref="T4"/>
    </sheetView>
  </sheetViews>
  <sheetFormatPr defaultRowHeight="15" x14ac:dyDescent="0.25"/>
  <cols>
    <col min="18" max="18" width="20.28515625" customWidth="1"/>
    <col min="19" max="19" width="11.5703125" customWidth="1"/>
    <col min="20" max="20" width="34.85546875" bestFit="1" customWidth="1"/>
  </cols>
  <sheetData>
    <row r="1" spans="1:44" x14ac:dyDescent="0.25">
      <c r="A1" s="6" t="s">
        <v>1989</v>
      </c>
      <c r="B1" s="7"/>
      <c r="C1" s="7"/>
      <c r="D1" s="7"/>
      <c r="E1" s="7"/>
      <c r="F1" s="7"/>
      <c r="G1" s="7"/>
      <c r="H1" s="7"/>
      <c r="I1" s="7"/>
      <c r="J1" s="7"/>
      <c r="K1" s="7"/>
      <c r="L1" s="7"/>
      <c r="M1" s="7"/>
      <c r="N1" s="7"/>
      <c r="O1" s="7"/>
      <c r="P1" s="7"/>
      <c r="Q1" s="7"/>
      <c r="R1" s="7"/>
      <c r="S1" s="7"/>
      <c r="T1" s="7"/>
      <c r="U1" s="7"/>
      <c r="V1" s="5"/>
      <c r="W1" s="5"/>
      <c r="X1" s="5"/>
      <c r="Y1" s="5"/>
      <c r="Z1" s="5"/>
      <c r="AA1" s="5"/>
      <c r="AB1" s="5"/>
      <c r="AC1" s="5"/>
      <c r="AD1" s="5"/>
      <c r="AE1" s="5"/>
      <c r="AF1" s="5"/>
      <c r="AG1" s="5"/>
      <c r="AH1" s="5"/>
      <c r="AI1" s="5"/>
      <c r="AJ1" s="5"/>
      <c r="AK1" s="5"/>
      <c r="AL1" s="5"/>
      <c r="AM1" s="5"/>
      <c r="AN1" s="5"/>
      <c r="AO1" s="5"/>
      <c r="AP1" s="5"/>
      <c r="AQ1" s="5"/>
      <c r="AR1" s="5"/>
    </row>
    <row r="2" spans="1:44" x14ac:dyDescent="0.25">
      <c r="A2" s="7"/>
      <c r="B2" s="7"/>
      <c r="C2" s="7"/>
      <c r="D2" s="7"/>
      <c r="E2" s="7"/>
      <c r="F2" s="7"/>
      <c r="G2" s="7"/>
      <c r="H2" s="7"/>
      <c r="I2" s="7"/>
      <c r="J2" s="7"/>
      <c r="K2" s="7"/>
      <c r="L2" s="7"/>
      <c r="M2" s="7"/>
      <c r="N2" s="7"/>
      <c r="O2" s="7"/>
      <c r="P2" s="7"/>
      <c r="Q2" s="7"/>
      <c r="R2" s="7"/>
      <c r="S2" s="7"/>
      <c r="T2" s="7"/>
      <c r="U2" s="7"/>
      <c r="V2" s="5"/>
      <c r="W2" s="5"/>
      <c r="X2" s="5"/>
      <c r="Y2" s="5"/>
      <c r="Z2" s="5"/>
      <c r="AA2" s="5"/>
      <c r="AB2" s="5"/>
      <c r="AC2" s="5"/>
      <c r="AD2" s="5"/>
      <c r="AE2" s="5"/>
      <c r="AF2" s="5"/>
      <c r="AG2" s="5"/>
      <c r="AH2" s="5"/>
      <c r="AI2" s="5"/>
      <c r="AJ2" s="5"/>
      <c r="AK2" s="5"/>
      <c r="AL2" s="5"/>
      <c r="AM2" s="5"/>
      <c r="AN2" s="5"/>
      <c r="AO2" s="5"/>
      <c r="AP2" s="5"/>
      <c r="AQ2" s="5"/>
      <c r="AR2" s="5"/>
    </row>
    <row r="3" spans="1:44" ht="28.5" x14ac:dyDescent="0.45">
      <c r="A3" s="5"/>
      <c r="B3" s="5"/>
      <c r="C3" s="5"/>
      <c r="D3" s="5"/>
      <c r="E3" s="5"/>
      <c r="F3" s="5"/>
      <c r="G3" s="5"/>
      <c r="H3" s="5"/>
      <c r="I3" s="5"/>
      <c r="J3" s="5"/>
      <c r="K3" s="5"/>
      <c r="L3" s="5"/>
      <c r="M3" s="5"/>
      <c r="N3" s="5"/>
      <c r="O3" s="5"/>
      <c r="P3" s="5"/>
      <c r="Q3" s="5"/>
      <c r="R3" s="5"/>
      <c r="S3" s="5"/>
      <c r="T3" s="8" t="s">
        <v>1990</v>
      </c>
      <c r="U3" s="5"/>
      <c r="V3" s="5"/>
      <c r="W3" s="5"/>
      <c r="X3" s="5"/>
      <c r="Y3" s="5"/>
      <c r="Z3" s="5"/>
      <c r="AA3" s="5"/>
      <c r="AB3" s="5"/>
      <c r="AC3" s="5"/>
      <c r="AD3" s="5"/>
      <c r="AE3" s="5"/>
      <c r="AF3" s="5"/>
      <c r="AG3" s="5"/>
      <c r="AH3" s="5"/>
      <c r="AI3" s="5"/>
      <c r="AJ3" s="5"/>
      <c r="AK3" s="5"/>
      <c r="AL3" s="5"/>
      <c r="AM3" s="5"/>
      <c r="AN3" s="5"/>
      <c r="AO3" s="5"/>
      <c r="AP3" s="5"/>
      <c r="AQ3" s="5"/>
      <c r="AR3" s="5"/>
    </row>
    <row r="4" spans="1:44" ht="26.25" x14ac:dyDescent="0.4">
      <c r="A4" s="5"/>
      <c r="B4" s="5"/>
      <c r="C4" s="5"/>
      <c r="D4" s="5"/>
      <c r="E4" s="5"/>
      <c r="F4" s="5"/>
      <c r="G4" s="5"/>
      <c r="H4" s="5"/>
      <c r="I4" s="5"/>
      <c r="J4" s="5"/>
      <c r="K4" s="5"/>
      <c r="L4" s="5"/>
      <c r="M4" s="5"/>
      <c r="N4" s="5"/>
      <c r="O4" s="5"/>
      <c r="P4" s="5"/>
      <c r="Q4" s="5"/>
      <c r="R4" s="5"/>
      <c r="S4" s="5"/>
      <c r="T4" s="9">
        <v>57041735</v>
      </c>
      <c r="U4" s="5"/>
      <c r="V4" s="5"/>
      <c r="W4" s="5"/>
      <c r="X4" s="5"/>
      <c r="Y4" s="5"/>
      <c r="Z4" s="5"/>
      <c r="AA4" s="5"/>
      <c r="AB4" s="5"/>
      <c r="AC4" s="5"/>
      <c r="AD4" s="5"/>
      <c r="AE4" s="5"/>
      <c r="AF4" s="5"/>
      <c r="AG4" s="5"/>
      <c r="AH4" s="5"/>
      <c r="AI4" s="5"/>
      <c r="AJ4" s="5"/>
      <c r="AK4" s="5"/>
      <c r="AL4" s="5"/>
      <c r="AM4" s="5"/>
      <c r="AN4" s="5"/>
      <c r="AO4" s="5"/>
      <c r="AP4" s="5"/>
      <c r="AQ4" s="5"/>
      <c r="AR4" s="5"/>
    </row>
    <row r="5" spans="1:44"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row>
    <row r="6" spans="1:44"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row>
    <row r="7" spans="1:44"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spans="1:44"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spans="1:44"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row>
    <row r="10" spans="1:44"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spans="1:44"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spans="1:44"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row>
    <row r="13" spans="1:44"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spans="1:44"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spans="1:44"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spans="1:44"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spans="1:44"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spans="1:44"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spans="1:44"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spans="1:44"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row>
    <row r="21" spans="1:44"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spans="1:44"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spans="1:44"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spans="1:44" x14ac:dyDescent="0.25">
      <c r="A24" s="5"/>
      <c r="B24" s="5"/>
      <c r="C24" s="5"/>
      <c r="D24" s="5"/>
      <c r="E24" s="5"/>
      <c r="F24" s="5"/>
      <c r="G24" s="5"/>
      <c r="H24" s="5"/>
      <c r="I24" s="5"/>
      <c r="J24" s="5"/>
      <c r="K24" s="5"/>
      <c r="L24" s="5"/>
      <c r="M24" s="5"/>
      <c r="N24" s="5"/>
      <c r="O24" s="5"/>
      <c r="P24" s="5"/>
      <c r="Q24" s="5"/>
      <c r="R24" s="5"/>
      <c r="S24" s="5"/>
      <c r="T24" s="5" t="s">
        <v>1991</v>
      </c>
      <c r="U24" s="5"/>
      <c r="V24" s="5"/>
      <c r="W24" s="5"/>
      <c r="X24" s="5"/>
      <c r="Y24" s="5"/>
      <c r="Z24" s="5"/>
      <c r="AA24" s="5"/>
      <c r="AB24" s="5"/>
      <c r="AC24" s="5"/>
      <c r="AD24" s="5"/>
      <c r="AE24" s="5"/>
      <c r="AF24" s="5"/>
      <c r="AG24" s="5"/>
      <c r="AH24" s="5"/>
      <c r="AI24" s="5"/>
      <c r="AJ24" s="5"/>
      <c r="AK24" s="5"/>
      <c r="AL24" s="5"/>
      <c r="AM24" s="5"/>
      <c r="AN24" s="5"/>
      <c r="AO24" s="5"/>
      <c r="AP24" s="5"/>
      <c r="AQ24" s="5"/>
      <c r="AR24" s="5"/>
    </row>
    <row r="25" spans="1:44"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spans="1:44"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spans="1:44"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spans="1:44"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spans="1:44"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spans="1:44"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spans="1:44"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row>
    <row r="32" spans="1:44"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row>
    <row r="33" spans="1:44"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row>
    <row r="34" spans="1:44"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row>
    <row r="35" spans="1:44"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row>
    <row r="36" spans="1:44"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row>
    <row r="37" spans="1:44"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row>
    <row r="38" spans="1:44"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row>
    <row r="39" spans="1:44"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row>
    <row r="40" spans="1:44"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row>
    <row r="41" spans="1:44"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row>
    <row r="42" spans="1:44"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row>
    <row r="43" spans="1:44"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row>
    <row r="44" spans="1:44"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spans="1:44"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spans="1:44"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spans="1:44"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row>
    <row r="48" spans="1:44"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row>
    <row r="49" spans="1:44"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row>
    <row r="50" spans="1:44"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row>
    <row r="51" spans="1:44"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row>
    <row r="52" spans="1:44"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row>
    <row r="53" spans="1:44"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row>
    <row r="54" spans="1:44"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row>
    <row r="55" spans="1:44"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row>
    <row r="56" spans="1:44"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row>
    <row r="57" spans="1:44"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row>
    <row r="58" spans="1:44"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row>
    <row r="59" spans="1:44"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row>
    <row r="60" spans="1:44"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row>
    <row r="61" spans="1:44"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row>
    <row r="62" spans="1:44"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row>
    <row r="63" spans="1:44"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row>
    <row r="64" spans="1:44"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row>
    <row r="65" spans="1:44"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row>
    <row r="66" spans="1:44"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row>
    <row r="67" spans="1:44"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row>
    <row r="68" spans="1:44"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row>
    <row r="69" spans="1:44"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row>
    <row r="70" spans="1:44"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row>
    <row r="71" spans="1:44"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row>
    <row r="72" spans="1:44"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row>
    <row r="73" spans="1:44"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row>
    <row r="74" spans="1:44"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row>
    <row r="75" spans="1:44"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row>
    <row r="76" spans="1:44"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row>
    <row r="77" spans="1:44"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row>
    <row r="78" spans="1:44"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row>
    <row r="79" spans="1:44"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row>
    <row r="80" spans="1:44"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row>
    <row r="81" spans="1:44"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row>
    <row r="82" spans="1:44"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row>
    <row r="83" spans="1:44"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row>
    <row r="84" spans="1:44"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row>
    <row r="85" spans="1:44"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row>
    <row r="86" spans="1:44"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row>
    <row r="87" spans="1:44"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row>
    <row r="88" spans="1:44"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row>
    <row r="89" spans="1:44"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row>
    <row r="90" spans="1:44"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row>
    <row r="91" spans="1:44"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row>
    <row r="92" spans="1:44"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row>
    <row r="93" spans="1:44"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row>
    <row r="94" spans="1:44"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row>
    <row r="95" spans="1:44"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row>
    <row r="96" spans="1:44"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row>
    <row r="97" spans="1:44"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row>
    <row r="98" spans="1:44"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row>
    <row r="99" spans="1:44"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row>
    <row r="100" spans="1:44"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row>
    <row r="101" spans="1:44"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row>
    <row r="102" spans="1:44"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row>
    <row r="103" spans="1:44"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row>
    <row r="104" spans="1:44"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row>
    <row r="105" spans="1:44"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row>
    <row r="106" spans="1:44"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row>
    <row r="107" spans="1:44"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row>
    <row r="108" spans="1:44"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row>
    <row r="109" spans="1:44"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row>
    <row r="110" spans="1:44"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row>
    <row r="111" spans="1:44"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row>
    <row r="112" spans="1:44"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row>
    <row r="113" spans="1:44"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row>
    <row r="114" spans="1:44"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row>
    <row r="115" spans="1:44"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row>
    <row r="116" spans="1:44"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row>
    <row r="117" spans="1:44"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row>
    <row r="118" spans="1:44"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row>
    <row r="119" spans="1:44"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row>
    <row r="120" spans="1:44"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row>
    <row r="121" spans="1:44"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row>
    <row r="122" spans="1:44"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row>
    <row r="123" spans="1:44"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row>
    <row r="124" spans="1:44"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row>
    <row r="125" spans="1:44"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row>
    <row r="126" spans="1:44"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row>
    <row r="127" spans="1:44"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row>
    <row r="128" spans="1:44"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row>
    <row r="129" spans="1:44"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row>
    <row r="130" spans="1:44"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row>
    <row r="131" spans="1:44"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row>
  </sheetData>
  <mergeCells count="1">
    <mergeCell ref="A1:U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1E7D7-AF21-48D2-BB95-A998967086C2}">
  <dimension ref="A3:A4"/>
  <sheetViews>
    <sheetView workbookViewId="0">
      <selection activeCell="A4" sqref="A4"/>
    </sheetView>
  </sheetViews>
  <sheetFormatPr defaultRowHeight="15" x14ac:dyDescent="0.25"/>
  <cols>
    <col min="1" max="1" width="17.85546875" bestFit="1" customWidth="1"/>
  </cols>
  <sheetData>
    <row r="3" spans="1:1" x14ac:dyDescent="0.25">
      <c r="A3" t="s">
        <v>1968</v>
      </c>
    </row>
    <row r="4" spans="1:1" x14ac:dyDescent="0.25">
      <c r="A4" s="1">
        <v>57041735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B1D86-C34C-4BE2-9F66-9D4D95D5B54B}">
  <dimension ref="A3:B9"/>
  <sheetViews>
    <sheetView workbookViewId="0">
      <selection activeCell="A3" sqref="A3"/>
    </sheetView>
  </sheetViews>
  <sheetFormatPr defaultRowHeight="15" x14ac:dyDescent="0.25"/>
  <cols>
    <col min="1" max="1" width="17.28515625" bestFit="1" customWidth="1"/>
    <col min="2" max="2" width="17.85546875" bestFit="1" customWidth="1"/>
  </cols>
  <sheetData>
    <row r="3" spans="1:2" x14ac:dyDescent="0.25">
      <c r="A3" s="3" t="s">
        <v>1969</v>
      </c>
      <c r="B3" t="s">
        <v>1968</v>
      </c>
    </row>
    <row r="4" spans="1:2" x14ac:dyDescent="0.25">
      <c r="A4" s="4" t="s">
        <v>1984</v>
      </c>
      <c r="B4" s="1">
        <v>393505</v>
      </c>
    </row>
    <row r="5" spans="1:2" x14ac:dyDescent="0.25">
      <c r="A5" s="4" t="s">
        <v>1985</v>
      </c>
      <c r="B5" s="1">
        <v>378270</v>
      </c>
    </row>
    <row r="6" spans="1:2" x14ac:dyDescent="0.25">
      <c r="A6" s="4" t="s">
        <v>1986</v>
      </c>
      <c r="B6" s="1">
        <v>369965</v>
      </c>
    </row>
    <row r="7" spans="1:2" x14ac:dyDescent="0.25">
      <c r="A7" s="4" t="s">
        <v>1987</v>
      </c>
      <c r="B7" s="1">
        <v>383355</v>
      </c>
    </row>
    <row r="8" spans="1:2" x14ac:dyDescent="0.25">
      <c r="A8" s="4" t="s">
        <v>1988</v>
      </c>
      <c r="B8" s="1">
        <v>380865</v>
      </c>
    </row>
    <row r="9" spans="1:2" x14ac:dyDescent="0.25">
      <c r="A9" s="4" t="s">
        <v>1970</v>
      </c>
      <c r="B9" s="1">
        <v>1905960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F773A-CEBD-4527-8AD8-89D1C3293236}">
  <dimension ref="A1:Q501"/>
  <sheetViews>
    <sheetView topLeftCell="A2" zoomScale="85" zoomScaleNormal="85" workbookViewId="0">
      <selection activeCell="F23" sqref="A2:Q501"/>
    </sheetView>
  </sheetViews>
  <sheetFormatPr defaultRowHeight="15" x14ac:dyDescent="0.25"/>
  <cols>
    <col min="1" max="1" width="11.42578125" bestFit="1" customWidth="1"/>
    <col min="2" max="2" width="13.5703125" bestFit="1" customWidth="1"/>
    <col min="3" max="3" width="14.7109375" bestFit="1" customWidth="1"/>
    <col min="4" max="4" width="19.42578125" bestFit="1" customWidth="1"/>
    <col min="5" max="5" width="13.28515625" bestFit="1" customWidth="1"/>
    <col min="6" max="6" width="21" bestFit="1" customWidth="1"/>
    <col min="7" max="7" width="9.5703125" bestFit="1" customWidth="1"/>
    <col min="8" max="8" width="12.85546875" bestFit="1" customWidth="1"/>
    <col min="9" max="9" width="11.28515625" bestFit="1" customWidth="1"/>
    <col min="10" max="10" width="11" bestFit="1" customWidth="1"/>
    <col min="11" max="11" width="12.5703125" bestFit="1" customWidth="1"/>
    <col min="12" max="12" width="13.42578125" bestFit="1" customWidth="1"/>
    <col min="13" max="13" width="19.5703125" bestFit="1" customWidth="1"/>
    <col min="14" max="14" width="14.85546875" bestFit="1" customWidth="1"/>
    <col min="15" max="15" width="9.28515625" bestFit="1" customWidth="1"/>
    <col min="16" max="16" width="7.5703125" bestFit="1" customWidth="1"/>
    <col min="17" max="17" width="24.28515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1966</v>
      </c>
      <c r="P1" t="s">
        <v>1967</v>
      </c>
      <c r="Q1" t="s">
        <v>1983</v>
      </c>
    </row>
    <row r="2" spans="1:17" x14ac:dyDescent="0.25">
      <c r="A2" s="1" t="s">
        <v>14</v>
      </c>
      <c r="B2" s="2">
        <v>45912</v>
      </c>
      <c r="C2" s="1" t="s">
        <v>15</v>
      </c>
      <c r="D2" s="1" t="s">
        <v>16</v>
      </c>
      <c r="E2" s="1" t="s">
        <v>17</v>
      </c>
      <c r="F2" s="1" t="s">
        <v>18</v>
      </c>
      <c r="G2" s="1" t="s">
        <v>19</v>
      </c>
      <c r="H2" s="1" t="s">
        <v>20</v>
      </c>
      <c r="I2" s="1" t="s">
        <v>21</v>
      </c>
      <c r="J2">
        <v>4</v>
      </c>
      <c r="K2">
        <v>16836</v>
      </c>
      <c r="L2">
        <v>67344</v>
      </c>
      <c r="M2" s="1" t="s">
        <v>22</v>
      </c>
      <c r="N2" s="1" t="s">
        <v>23</v>
      </c>
      <c r="O2" t="str">
        <f>TEXT(SalesDataset[[#This Row],[Order_Date]],"mmm")</f>
        <v>Sep</v>
      </c>
      <c r="P2" s="1" t="str">
        <f>TEXT(SalesDataset[[#This Row],[Order_Date]],"YYYY")</f>
        <v>2025</v>
      </c>
      <c r="Q2" s="1" t="str">
        <f>_xlfn.TEXTJOIN(" ",TRUE,SalesDataset[[#This Row],[First_Name]],SalesDataset[[#This Row],[Last_Name]])</f>
        <v>Bryan Ruiz</v>
      </c>
    </row>
    <row r="3" spans="1:17" x14ac:dyDescent="0.25">
      <c r="A3" s="1" t="s">
        <v>24</v>
      </c>
      <c r="B3" s="2">
        <v>45799</v>
      </c>
      <c r="C3" s="1" t="s">
        <v>25</v>
      </c>
      <c r="D3" s="1" t="s">
        <v>26</v>
      </c>
      <c r="E3" s="1" t="s">
        <v>27</v>
      </c>
      <c r="F3" s="1" t="s">
        <v>28</v>
      </c>
      <c r="G3" s="1" t="s">
        <v>29</v>
      </c>
      <c r="H3" s="1" t="s">
        <v>30</v>
      </c>
      <c r="I3" s="1" t="s">
        <v>21</v>
      </c>
      <c r="J3">
        <v>5</v>
      </c>
      <c r="K3">
        <v>53776</v>
      </c>
      <c r="L3">
        <v>268880</v>
      </c>
      <c r="M3" s="1" t="s">
        <v>22</v>
      </c>
      <c r="N3" s="1" t="s">
        <v>31</v>
      </c>
      <c r="O3" t="str">
        <f>TEXT(SalesDataset[[#This Row],[Order_Date]],"mmm")</f>
        <v>May</v>
      </c>
      <c r="P3" s="1" t="str">
        <f>TEXT(SalesDataset[[#This Row],[Order_Date]],"YYYY")</f>
        <v>2025</v>
      </c>
      <c r="Q3" s="1" t="str">
        <f>_xlfn.TEXTJOIN(" ",TRUE,SalesDataset[[#This Row],[First_Name]],SalesDataset[[#This Row],[Last_Name]])</f>
        <v>Darren Hernandez</v>
      </c>
    </row>
    <row r="4" spans="1:17" x14ac:dyDescent="0.25">
      <c r="A4" s="1" t="s">
        <v>32</v>
      </c>
      <c r="B4" s="2">
        <v>46069</v>
      </c>
      <c r="C4" s="1" t="s">
        <v>33</v>
      </c>
      <c r="D4" s="1" t="s">
        <v>34</v>
      </c>
      <c r="E4" s="1" t="s">
        <v>35</v>
      </c>
      <c r="F4" s="1" t="s">
        <v>36</v>
      </c>
      <c r="G4" s="1" t="s">
        <v>29</v>
      </c>
      <c r="H4" s="1" t="s">
        <v>37</v>
      </c>
      <c r="I4" s="1" t="s">
        <v>21</v>
      </c>
      <c r="J4">
        <v>5</v>
      </c>
      <c r="K4">
        <v>1250</v>
      </c>
      <c r="L4">
        <v>6250</v>
      </c>
      <c r="M4" s="1" t="s">
        <v>38</v>
      </c>
      <c r="N4" s="1" t="s">
        <v>23</v>
      </c>
      <c r="O4" t="str">
        <f>TEXT(SalesDataset[[#This Row],[Order_Date]],"mmm")</f>
        <v>Feb</v>
      </c>
      <c r="P4" s="1" t="str">
        <f>TEXT(SalesDataset[[#This Row],[Order_Date]],"YYYY")</f>
        <v>2026</v>
      </c>
      <c r="Q4" s="1" t="str">
        <f>_xlfn.TEXTJOIN(" ",TRUE,SalesDataset[[#This Row],[First_Name]],SalesDataset[[#This Row],[Last_Name]])</f>
        <v>Jennifer Ray</v>
      </c>
    </row>
    <row r="5" spans="1:17" x14ac:dyDescent="0.25">
      <c r="A5" s="1" t="s">
        <v>39</v>
      </c>
      <c r="B5" s="2">
        <v>46129</v>
      </c>
      <c r="C5" s="1" t="s">
        <v>40</v>
      </c>
      <c r="D5" s="1" t="s">
        <v>41</v>
      </c>
      <c r="E5" s="1" t="s">
        <v>42</v>
      </c>
      <c r="F5" s="1" t="s">
        <v>43</v>
      </c>
      <c r="G5" s="1" t="s">
        <v>44</v>
      </c>
      <c r="H5" s="1" t="s">
        <v>45</v>
      </c>
      <c r="I5" s="1" t="s">
        <v>21</v>
      </c>
      <c r="J5">
        <v>3</v>
      </c>
      <c r="K5">
        <v>6092</v>
      </c>
      <c r="L5">
        <v>18276</v>
      </c>
      <c r="M5" s="1" t="s">
        <v>22</v>
      </c>
      <c r="N5" s="1" t="s">
        <v>46</v>
      </c>
      <c r="O5" t="str">
        <f>TEXT(SalesDataset[[#This Row],[Order_Date]],"mmm")</f>
        <v>Apr</v>
      </c>
      <c r="P5" s="1" t="str">
        <f>TEXT(SalesDataset[[#This Row],[Order_Date]],"YYYY")</f>
        <v>2026</v>
      </c>
      <c r="Q5" s="1" t="str">
        <f>_xlfn.TEXTJOIN(" ",TRUE,SalesDataset[[#This Row],[First_Name]],SalesDataset[[#This Row],[Last_Name]])</f>
        <v>Angel Nichols</v>
      </c>
    </row>
    <row r="6" spans="1:17" x14ac:dyDescent="0.25">
      <c r="A6" s="1" t="s">
        <v>47</v>
      </c>
      <c r="B6" s="2">
        <v>45889</v>
      </c>
      <c r="C6" s="1" t="s">
        <v>48</v>
      </c>
      <c r="D6" s="1" t="s">
        <v>49</v>
      </c>
      <c r="E6" s="1" t="s">
        <v>50</v>
      </c>
      <c r="F6" s="1" t="s">
        <v>51</v>
      </c>
      <c r="G6" s="1" t="s">
        <v>44</v>
      </c>
      <c r="H6" s="1" t="s">
        <v>30</v>
      </c>
      <c r="I6" s="1" t="s">
        <v>21</v>
      </c>
      <c r="J6">
        <v>3</v>
      </c>
      <c r="K6">
        <v>9128</v>
      </c>
      <c r="L6">
        <v>27384</v>
      </c>
      <c r="M6" s="1" t="s">
        <v>22</v>
      </c>
      <c r="N6" s="1" t="s">
        <v>31</v>
      </c>
      <c r="O6" t="str">
        <f>TEXT(SalesDataset[[#This Row],[Order_Date]],"mmm")</f>
        <v>Aug</v>
      </c>
      <c r="P6" s="1" t="str">
        <f>TEXT(SalesDataset[[#This Row],[Order_Date]],"YYYY")</f>
        <v>2025</v>
      </c>
      <c r="Q6" s="1" t="str">
        <f>_xlfn.TEXTJOIN(" ",TRUE,SalesDataset[[#This Row],[First_Name]],SalesDataset[[#This Row],[Last_Name]])</f>
        <v>Eric Peterson</v>
      </c>
    </row>
    <row r="7" spans="1:17" x14ac:dyDescent="0.25">
      <c r="A7" s="1" t="s">
        <v>52</v>
      </c>
      <c r="B7" s="2">
        <v>46034</v>
      </c>
      <c r="C7" s="1" t="s">
        <v>53</v>
      </c>
      <c r="D7" s="1" t="s">
        <v>54</v>
      </c>
      <c r="E7" s="1" t="s">
        <v>55</v>
      </c>
      <c r="F7" s="1" t="s">
        <v>56</v>
      </c>
      <c r="G7" s="1" t="s">
        <v>19</v>
      </c>
      <c r="H7" s="1" t="s">
        <v>45</v>
      </c>
      <c r="I7" s="1" t="s">
        <v>21</v>
      </c>
      <c r="J7">
        <v>4</v>
      </c>
      <c r="K7">
        <v>34348</v>
      </c>
      <c r="L7">
        <v>137392</v>
      </c>
      <c r="M7" s="1" t="s">
        <v>38</v>
      </c>
      <c r="N7" s="1" t="s">
        <v>46</v>
      </c>
      <c r="O7" t="str">
        <f>TEXT(SalesDataset[[#This Row],[Order_Date]],"mmm")</f>
        <v>Jan</v>
      </c>
      <c r="P7" s="1" t="str">
        <f>TEXT(SalesDataset[[#This Row],[Order_Date]],"YYYY")</f>
        <v>2026</v>
      </c>
      <c r="Q7" s="1" t="str">
        <f>_xlfn.TEXTJOIN(" ",TRUE,SalesDataset[[#This Row],[First_Name]],SalesDataset[[#This Row],[Last_Name]])</f>
        <v>Seth Miller</v>
      </c>
    </row>
    <row r="8" spans="1:17" x14ac:dyDescent="0.25">
      <c r="A8" s="1" t="s">
        <v>57</v>
      </c>
      <c r="B8" s="2">
        <v>46032</v>
      </c>
      <c r="C8" s="1" t="s">
        <v>58</v>
      </c>
      <c r="D8" s="1" t="s">
        <v>59</v>
      </c>
      <c r="E8" s="1" t="s">
        <v>60</v>
      </c>
      <c r="F8" s="1" t="s">
        <v>61</v>
      </c>
      <c r="G8" s="1" t="s">
        <v>19</v>
      </c>
      <c r="H8" s="1" t="s">
        <v>62</v>
      </c>
      <c r="I8" s="1" t="s">
        <v>21</v>
      </c>
      <c r="J8">
        <v>1</v>
      </c>
      <c r="K8">
        <v>45419</v>
      </c>
      <c r="L8">
        <v>45419</v>
      </c>
      <c r="M8" s="1" t="s">
        <v>63</v>
      </c>
      <c r="N8" s="1" t="s">
        <v>23</v>
      </c>
      <c r="O8" t="str">
        <f>TEXT(SalesDataset[[#This Row],[Order_Date]],"mmm")</f>
        <v>Jan</v>
      </c>
      <c r="P8" s="1" t="str">
        <f>TEXT(SalesDataset[[#This Row],[Order_Date]],"YYYY")</f>
        <v>2026</v>
      </c>
      <c r="Q8" s="1" t="str">
        <f>_xlfn.TEXTJOIN(" ",TRUE,SalesDataset[[#This Row],[First_Name]],SalesDataset[[#This Row],[Last_Name]])</f>
        <v>Jason Ramirez</v>
      </c>
    </row>
    <row r="9" spans="1:17" x14ac:dyDescent="0.25">
      <c r="A9" s="1" t="s">
        <v>64</v>
      </c>
      <c r="B9" s="2">
        <v>46012</v>
      </c>
      <c r="C9" s="1" t="s">
        <v>65</v>
      </c>
      <c r="D9" s="1" t="s">
        <v>66</v>
      </c>
      <c r="E9" s="1" t="s">
        <v>67</v>
      </c>
      <c r="F9" s="1" t="s">
        <v>68</v>
      </c>
      <c r="G9" s="1" t="s">
        <v>29</v>
      </c>
      <c r="H9" s="1" t="s">
        <v>62</v>
      </c>
      <c r="I9" s="1" t="s">
        <v>21</v>
      </c>
      <c r="J9">
        <v>3</v>
      </c>
      <c r="K9">
        <v>49940</v>
      </c>
      <c r="L9">
        <v>149820</v>
      </c>
      <c r="M9" s="1" t="s">
        <v>22</v>
      </c>
      <c r="N9" s="1" t="s">
        <v>23</v>
      </c>
      <c r="O9" t="str">
        <f>TEXT(SalesDataset[[#This Row],[Order_Date]],"mmm")</f>
        <v>Dec</v>
      </c>
      <c r="P9" s="1" t="str">
        <f>TEXT(SalesDataset[[#This Row],[Order_Date]],"YYYY")</f>
        <v>2025</v>
      </c>
      <c r="Q9" s="1" t="str">
        <f>_xlfn.TEXTJOIN(" ",TRUE,SalesDataset[[#This Row],[First_Name]],SalesDataset[[#This Row],[Last_Name]])</f>
        <v>Angela Hall</v>
      </c>
    </row>
    <row r="10" spans="1:17" x14ac:dyDescent="0.25">
      <c r="A10" s="1" t="s">
        <v>69</v>
      </c>
      <c r="B10" s="2">
        <v>45961</v>
      </c>
      <c r="C10" s="1" t="s">
        <v>70</v>
      </c>
      <c r="D10" s="1" t="s">
        <v>71</v>
      </c>
      <c r="E10" s="1" t="s">
        <v>72</v>
      </c>
      <c r="F10" s="1" t="s">
        <v>73</v>
      </c>
      <c r="G10" s="1" t="s">
        <v>44</v>
      </c>
      <c r="H10" s="1" t="s">
        <v>30</v>
      </c>
      <c r="I10" s="1" t="s">
        <v>21</v>
      </c>
      <c r="J10">
        <v>4</v>
      </c>
      <c r="K10">
        <v>60298</v>
      </c>
      <c r="L10">
        <v>241192</v>
      </c>
      <c r="M10" s="1" t="s">
        <v>74</v>
      </c>
      <c r="N10" s="1" t="s">
        <v>23</v>
      </c>
      <c r="O10" t="str">
        <f>TEXT(SalesDataset[[#This Row],[Order_Date]],"mmm")</f>
        <v>Oct</v>
      </c>
      <c r="P10" s="1" t="str">
        <f>TEXT(SalesDataset[[#This Row],[Order_Date]],"YYYY")</f>
        <v>2025</v>
      </c>
      <c r="Q10" s="1" t="str">
        <f>_xlfn.TEXTJOIN(" ",TRUE,SalesDataset[[#This Row],[First_Name]],SalesDataset[[#This Row],[Last_Name]])</f>
        <v>Raymond Evans</v>
      </c>
    </row>
    <row r="11" spans="1:17" x14ac:dyDescent="0.25">
      <c r="A11" s="1" t="s">
        <v>75</v>
      </c>
      <c r="B11" s="2">
        <v>45865</v>
      </c>
      <c r="C11" s="1" t="s">
        <v>76</v>
      </c>
      <c r="D11" s="1" t="s">
        <v>77</v>
      </c>
      <c r="E11" s="1" t="s">
        <v>78</v>
      </c>
      <c r="F11" s="1" t="s">
        <v>79</v>
      </c>
      <c r="G11" s="1" t="s">
        <v>19</v>
      </c>
      <c r="H11" s="1" t="s">
        <v>80</v>
      </c>
      <c r="I11" s="1" t="s">
        <v>21</v>
      </c>
      <c r="J11">
        <v>3</v>
      </c>
      <c r="K11">
        <v>1990</v>
      </c>
      <c r="L11">
        <v>5970</v>
      </c>
      <c r="M11" s="1" t="s">
        <v>38</v>
      </c>
      <c r="N11" s="1" t="s">
        <v>46</v>
      </c>
      <c r="O11" t="str">
        <f>TEXT(SalesDataset[[#This Row],[Order_Date]],"mmm")</f>
        <v>Jul</v>
      </c>
      <c r="P11" s="1" t="str">
        <f>TEXT(SalesDataset[[#This Row],[Order_Date]],"YYYY")</f>
        <v>2025</v>
      </c>
      <c r="Q11" s="1" t="str">
        <f>_xlfn.TEXTJOIN(" ",TRUE,SalesDataset[[#This Row],[First_Name]],SalesDataset[[#This Row],[Last_Name]])</f>
        <v>Mark Taylor</v>
      </c>
    </row>
    <row r="12" spans="1:17" x14ac:dyDescent="0.25">
      <c r="A12" s="1" t="s">
        <v>81</v>
      </c>
      <c r="B12" s="2">
        <v>46086</v>
      </c>
      <c r="C12" s="1" t="s">
        <v>82</v>
      </c>
      <c r="D12" s="1" t="s">
        <v>83</v>
      </c>
      <c r="E12" s="1" t="s">
        <v>84</v>
      </c>
      <c r="F12" s="1" t="s">
        <v>85</v>
      </c>
      <c r="G12" s="1" t="s">
        <v>44</v>
      </c>
      <c r="H12" s="1" t="s">
        <v>80</v>
      </c>
      <c r="I12" s="1" t="s">
        <v>21</v>
      </c>
      <c r="J12">
        <v>1</v>
      </c>
      <c r="K12">
        <v>15047</v>
      </c>
      <c r="L12">
        <v>15047</v>
      </c>
      <c r="M12" s="1" t="s">
        <v>86</v>
      </c>
      <c r="N12" s="1" t="s">
        <v>46</v>
      </c>
      <c r="O12" t="str">
        <f>TEXT(SalesDataset[[#This Row],[Order_Date]],"mmm")</f>
        <v>Mar</v>
      </c>
      <c r="P12" s="1" t="str">
        <f>TEXT(SalesDataset[[#This Row],[Order_Date]],"YYYY")</f>
        <v>2026</v>
      </c>
      <c r="Q12" s="1" t="str">
        <f>_xlfn.TEXTJOIN(" ",TRUE,SalesDataset[[#This Row],[First_Name]],SalesDataset[[#This Row],[Last_Name]])</f>
        <v>Ashley Jimenez</v>
      </c>
    </row>
    <row r="13" spans="1:17" x14ac:dyDescent="0.25">
      <c r="A13" s="1" t="s">
        <v>87</v>
      </c>
      <c r="B13" s="2">
        <v>46044</v>
      </c>
      <c r="C13" s="1" t="s">
        <v>88</v>
      </c>
      <c r="D13" s="1" t="s">
        <v>89</v>
      </c>
      <c r="E13" s="1" t="s">
        <v>90</v>
      </c>
      <c r="F13" s="1" t="s">
        <v>91</v>
      </c>
      <c r="G13" s="1" t="s">
        <v>29</v>
      </c>
      <c r="H13" s="1" t="s">
        <v>92</v>
      </c>
      <c r="I13" s="1" t="s">
        <v>21</v>
      </c>
      <c r="J13">
        <v>3</v>
      </c>
      <c r="K13">
        <v>58547</v>
      </c>
      <c r="L13">
        <v>175641</v>
      </c>
      <c r="M13" s="1" t="s">
        <v>74</v>
      </c>
      <c r="N13" s="1" t="s">
        <v>31</v>
      </c>
      <c r="O13" t="str">
        <f>TEXT(SalesDataset[[#This Row],[Order_Date]],"mmm")</f>
        <v>Jan</v>
      </c>
      <c r="P13" s="1" t="str">
        <f>TEXT(SalesDataset[[#This Row],[Order_Date]],"YYYY")</f>
        <v>2026</v>
      </c>
      <c r="Q13" s="1" t="str">
        <f>_xlfn.TEXTJOIN(" ",TRUE,SalesDataset[[#This Row],[First_Name]],SalesDataset[[#This Row],[Last_Name]])</f>
        <v>Amy Arnold</v>
      </c>
    </row>
    <row r="14" spans="1:17" x14ac:dyDescent="0.25">
      <c r="A14" s="1" t="s">
        <v>93</v>
      </c>
      <c r="B14" s="2">
        <v>45872</v>
      </c>
      <c r="C14" s="1" t="s">
        <v>94</v>
      </c>
      <c r="D14" s="1" t="s">
        <v>83</v>
      </c>
      <c r="E14" s="1" t="s">
        <v>95</v>
      </c>
      <c r="F14" s="1" t="s">
        <v>96</v>
      </c>
      <c r="G14" s="1" t="s">
        <v>19</v>
      </c>
      <c r="H14" s="1" t="s">
        <v>92</v>
      </c>
      <c r="I14" s="1" t="s">
        <v>21</v>
      </c>
      <c r="J14">
        <v>1</v>
      </c>
      <c r="K14">
        <v>21938</v>
      </c>
      <c r="L14">
        <v>21938</v>
      </c>
      <c r="M14" s="1" t="s">
        <v>63</v>
      </c>
      <c r="N14" s="1" t="s">
        <v>23</v>
      </c>
      <c r="O14" t="str">
        <f>TEXT(SalesDataset[[#This Row],[Order_Date]],"mmm")</f>
        <v>Aug</v>
      </c>
      <c r="P14" s="1" t="str">
        <f>TEXT(SalesDataset[[#This Row],[Order_Date]],"YYYY")</f>
        <v>2025</v>
      </c>
      <c r="Q14" s="1" t="str">
        <f>_xlfn.TEXTJOIN(" ",TRUE,SalesDataset[[#This Row],[First_Name]],SalesDataset[[#This Row],[Last_Name]])</f>
        <v>Ashley Murray</v>
      </c>
    </row>
    <row r="15" spans="1:17" x14ac:dyDescent="0.25">
      <c r="A15" s="1" t="s">
        <v>97</v>
      </c>
      <c r="B15" s="2">
        <v>45920</v>
      </c>
      <c r="C15" s="1" t="s">
        <v>98</v>
      </c>
      <c r="D15" s="1" t="s">
        <v>99</v>
      </c>
      <c r="E15" s="1" t="s">
        <v>100</v>
      </c>
      <c r="F15" s="1" t="s">
        <v>101</v>
      </c>
      <c r="G15" s="1" t="s">
        <v>102</v>
      </c>
      <c r="H15" s="1" t="s">
        <v>37</v>
      </c>
      <c r="I15" s="1" t="s">
        <v>21</v>
      </c>
      <c r="J15">
        <v>1</v>
      </c>
      <c r="K15">
        <v>39840</v>
      </c>
      <c r="L15">
        <v>39840</v>
      </c>
      <c r="M15" s="1" t="s">
        <v>86</v>
      </c>
      <c r="N15" s="1" t="s">
        <v>31</v>
      </c>
      <c r="O15" t="str">
        <f>TEXT(SalesDataset[[#This Row],[Order_Date]],"mmm")</f>
        <v>Sep</v>
      </c>
      <c r="P15" s="1" t="str">
        <f>TEXT(SalesDataset[[#This Row],[Order_Date]],"YYYY")</f>
        <v>2025</v>
      </c>
      <c r="Q15" s="1" t="str">
        <f>_xlfn.TEXTJOIN(" ",TRUE,SalesDataset[[#This Row],[First_Name]],SalesDataset[[#This Row],[Last_Name]])</f>
        <v>Erik Kelly</v>
      </c>
    </row>
    <row r="16" spans="1:17" x14ac:dyDescent="0.25">
      <c r="A16" s="1" t="s">
        <v>103</v>
      </c>
      <c r="B16" s="2">
        <v>46142</v>
      </c>
      <c r="C16" s="1" t="s">
        <v>104</v>
      </c>
      <c r="D16" s="1" t="s">
        <v>105</v>
      </c>
      <c r="E16" s="1" t="s">
        <v>106</v>
      </c>
      <c r="F16" s="1" t="s">
        <v>107</v>
      </c>
      <c r="G16" s="1" t="s">
        <v>44</v>
      </c>
      <c r="H16" s="1" t="s">
        <v>92</v>
      </c>
      <c r="I16" s="1" t="s">
        <v>21</v>
      </c>
      <c r="J16">
        <v>4</v>
      </c>
      <c r="K16">
        <v>20746</v>
      </c>
      <c r="L16">
        <v>82984</v>
      </c>
      <c r="M16" s="1" t="s">
        <v>63</v>
      </c>
      <c r="N16" s="1" t="s">
        <v>46</v>
      </c>
      <c r="O16" t="str">
        <f>TEXT(SalesDataset[[#This Row],[Order_Date]],"mmm")</f>
        <v>Apr</v>
      </c>
      <c r="P16" s="1" t="str">
        <f>TEXT(SalesDataset[[#This Row],[Order_Date]],"YYYY")</f>
        <v>2026</v>
      </c>
      <c r="Q16" s="1" t="str">
        <f>_xlfn.TEXTJOIN(" ",TRUE,SalesDataset[[#This Row],[First_Name]],SalesDataset[[#This Row],[Last_Name]])</f>
        <v>Roger Gutierrez</v>
      </c>
    </row>
    <row r="17" spans="1:17" x14ac:dyDescent="0.25">
      <c r="A17" s="1" t="s">
        <v>108</v>
      </c>
      <c r="B17" s="2">
        <v>46096</v>
      </c>
      <c r="C17" s="1" t="s">
        <v>109</v>
      </c>
      <c r="D17" s="1" t="s">
        <v>110</v>
      </c>
      <c r="E17" s="1" t="s">
        <v>111</v>
      </c>
      <c r="F17" s="1" t="s">
        <v>112</v>
      </c>
      <c r="G17" s="1" t="s">
        <v>19</v>
      </c>
      <c r="H17" s="1" t="s">
        <v>45</v>
      </c>
      <c r="I17" s="1" t="s">
        <v>21</v>
      </c>
      <c r="J17">
        <v>1</v>
      </c>
      <c r="K17">
        <v>16325</v>
      </c>
      <c r="L17">
        <v>16325</v>
      </c>
      <c r="M17" s="1" t="s">
        <v>63</v>
      </c>
      <c r="N17" s="1" t="s">
        <v>31</v>
      </c>
      <c r="O17" t="str">
        <f>TEXT(SalesDataset[[#This Row],[Order_Date]],"mmm")</f>
        <v>Mar</v>
      </c>
      <c r="P17" s="1" t="str">
        <f>TEXT(SalesDataset[[#This Row],[Order_Date]],"YYYY")</f>
        <v>2026</v>
      </c>
      <c r="Q17" s="1" t="str">
        <f>_xlfn.TEXTJOIN(" ",TRUE,SalesDataset[[#This Row],[First_Name]],SalesDataset[[#This Row],[Last_Name]])</f>
        <v>Ronald Chavez</v>
      </c>
    </row>
    <row r="18" spans="1:17" x14ac:dyDescent="0.25">
      <c r="A18" s="1" t="s">
        <v>113</v>
      </c>
      <c r="B18" s="2">
        <v>46005</v>
      </c>
      <c r="C18" s="1" t="s">
        <v>114</v>
      </c>
      <c r="D18" s="1" t="s">
        <v>115</v>
      </c>
      <c r="E18" s="1" t="s">
        <v>116</v>
      </c>
      <c r="F18" s="1" t="s">
        <v>117</v>
      </c>
      <c r="G18" s="1" t="s">
        <v>102</v>
      </c>
      <c r="H18" s="1" t="s">
        <v>92</v>
      </c>
      <c r="I18" s="1" t="s">
        <v>21</v>
      </c>
      <c r="J18">
        <v>1</v>
      </c>
      <c r="K18">
        <v>70934</v>
      </c>
      <c r="L18">
        <v>70934</v>
      </c>
      <c r="M18" s="1" t="s">
        <v>74</v>
      </c>
      <c r="N18" s="1" t="s">
        <v>46</v>
      </c>
      <c r="O18" t="str">
        <f>TEXT(SalesDataset[[#This Row],[Order_Date]],"mmm")</f>
        <v>Dec</v>
      </c>
      <c r="P18" s="1" t="str">
        <f>TEXT(SalesDataset[[#This Row],[Order_Date]],"YYYY")</f>
        <v>2025</v>
      </c>
      <c r="Q18" s="1" t="str">
        <f>_xlfn.TEXTJOIN(" ",TRUE,SalesDataset[[#This Row],[First_Name]],SalesDataset[[#This Row],[Last_Name]])</f>
        <v>Paula Turner</v>
      </c>
    </row>
    <row r="19" spans="1:17" x14ac:dyDescent="0.25">
      <c r="A19" s="1" t="s">
        <v>118</v>
      </c>
      <c r="B19" s="2">
        <v>46074</v>
      </c>
      <c r="C19" s="1" t="s">
        <v>119</v>
      </c>
      <c r="D19" s="1" t="s">
        <v>120</v>
      </c>
      <c r="E19" s="1" t="s">
        <v>121</v>
      </c>
      <c r="F19" s="1" t="s">
        <v>122</v>
      </c>
      <c r="G19" s="1" t="s">
        <v>44</v>
      </c>
      <c r="H19" s="1" t="s">
        <v>92</v>
      </c>
      <c r="I19" s="1" t="s">
        <v>21</v>
      </c>
      <c r="J19">
        <v>1</v>
      </c>
      <c r="K19">
        <v>53118</v>
      </c>
      <c r="L19">
        <v>53118</v>
      </c>
      <c r="M19" s="1" t="s">
        <v>22</v>
      </c>
      <c r="N19" s="1" t="s">
        <v>46</v>
      </c>
      <c r="O19" t="str">
        <f>TEXT(SalesDataset[[#This Row],[Order_Date]],"mmm")</f>
        <v>Feb</v>
      </c>
      <c r="P19" s="1" t="str">
        <f>TEXT(SalesDataset[[#This Row],[Order_Date]],"YYYY")</f>
        <v>2026</v>
      </c>
      <c r="Q19" s="1" t="str">
        <f>_xlfn.TEXTJOIN(" ",TRUE,SalesDataset[[#This Row],[First_Name]],SalesDataset[[#This Row],[Last_Name]])</f>
        <v>Timothy Davis</v>
      </c>
    </row>
    <row r="20" spans="1:17" x14ac:dyDescent="0.25">
      <c r="A20" s="1" t="s">
        <v>123</v>
      </c>
      <c r="B20" s="2">
        <v>46055</v>
      </c>
      <c r="C20" s="1" t="s">
        <v>124</v>
      </c>
      <c r="D20" s="1" t="s">
        <v>125</v>
      </c>
      <c r="E20" s="1" t="s">
        <v>126</v>
      </c>
      <c r="F20" s="1" t="s">
        <v>127</v>
      </c>
      <c r="G20" s="1" t="s">
        <v>44</v>
      </c>
      <c r="H20" s="1" t="s">
        <v>80</v>
      </c>
      <c r="I20" s="1" t="s">
        <v>21</v>
      </c>
      <c r="J20">
        <v>1</v>
      </c>
      <c r="K20">
        <v>38090</v>
      </c>
      <c r="L20">
        <v>38090</v>
      </c>
      <c r="M20" s="1" t="s">
        <v>22</v>
      </c>
      <c r="N20" s="1" t="s">
        <v>23</v>
      </c>
      <c r="O20" t="str">
        <f>TEXT(SalesDataset[[#This Row],[Order_Date]],"mmm")</f>
        <v>Feb</v>
      </c>
      <c r="P20" s="1" t="str">
        <f>TEXT(SalesDataset[[#This Row],[Order_Date]],"YYYY")</f>
        <v>2026</v>
      </c>
      <c r="Q20" s="1" t="str">
        <f>_xlfn.TEXTJOIN(" ",TRUE,SalesDataset[[#This Row],[First_Name]],SalesDataset[[#This Row],[Last_Name]])</f>
        <v>Virginia Phillips</v>
      </c>
    </row>
    <row r="21" spans="1:17" x14ac:dyDescent="0.25">
      <c r="A21" s="1" t="s">
        <v>128</v>
      </c>
      <c r="B21" s="2">
        <v>46125</v>
      </c>
      <c r="C21" s="1" t="s">
        <v>129</v>
      </c>
      <c r="D21" s="1" t="s">
        <v>130</v>
      </c>
      <c r="E21" s="1" t="s">
        <v>131</v>
      </c>
      <c r="F21" s="1" t="s">
        <v>132</v>
      </c>
      <c r="G21" s="1" t="s">
        <v>102</v>
      </c>
      <c r="H21" s="1" t="s">
        <v>45</v>
      </c>
      <c r="I21" s="1" t="s">
        <v>21</v>
      </c>
      <c r="J21">
        <v>4</v>
      </c>
      <c r="K21">
        <v>13692</v>
      </c>
      <c r="L21">
        <v>54768</v>
      </c>
      <c r="M21" s="1" t="s">
        <v>22</v>
      </c>
      <c r="N21" s="1" t="s">
        <v>46</v>
      </c>
      <c r="O21" t="str">
        <f>TEXT(SalesDataset[[#This Row],[Order_Date]],"mmm")</f>
        <v>Apr</v>
      </c>
      <c r="P21" s="1" t="str">
        <f>TEXT(SalesDataset[[#This Row],[Order_Date]],"YYYY")</f>
        <v>2026</v>
      </c>
      <c r="Q21" s="1" t="str">
        <f>_xlfn.TEXTJOIN(" ",TRUE,SalesDataset[[#This Row],[First_Name]],SalesDataset[[#This Row],[Last_Name]])</f>
        <v>Paul Smith</v>
      </c>
    </row>
    <row r="22" spans="1:17" x14ac:dyDescent="0.25">
      <c r="A22" s="1" t="s">
        <v>133</v>
      </c>
      <c r="B22" s="2">
        <v>45898</v>
      </c>
      <c r="C22" s="1" t="s">
        <v>134</v>
      </c>
      <c r="D22" s="1" t="s">
        <v>135</v>
      </c>
      <c r="E22" s="1" t="s">
        <v>136</v>
      </c>
      <c r="F22" s="1" t="s">
        <v>137</v>
      </c>
      <c r="G22" s="1" t="s">
        <v>102</v>
      </c>
      <c r="H22" s="1" t="s">
        <v>92</v>
      </c>
      <c r="I22" s="1" t="s">
        <v>21</v>
      </c>
      <c r="J22">
        <v>3</v>
      </c>
      <c r="K22">
        <v>30486</v>
      </c>
      <c r="L22">
        <v>91458</v>
      </c>
      <c r="M22" s="1" t="s">
        <v>86</v>
      </c>
      <c r="N22" s="1" t="s">
        <v>23</v>
      </c>
      <c r="O22" t="str">
        <f>TEXT(SalesDataset[[#This Row],[Order_Date]],"mmm")</f>
        <v>Aug</v>
      </c>
      <c r="P22" s="1" t="str">
        <f>TEXT(SalesDataset[[#This Row],[Order_Date]],"YYYY")</f>
        <v>2025</v>
      </c>
      <c r="Q22" s="1" t="str">
        <f>_xlfn.TEXTJOIN(" ",TRUE,SalesDataset[[#This Row],[First_Name]],SalesDataset[[#This Row],[Last_Name]])</f>
        <v>Adam Moore</v>
      </c>
    </row>
    <row r="23" spans="1:17" x14ac:dyDescent="0.25">
      <c r="A23" s="1" t="s">
        <v>138</v>
      </c>
      <c r="B23" s="2">
        <v>45960</v>
      </c>
      <c r="C23" s="1" t="s">
        <v>139</v>
      </c>
      <c r="D23" s="1" t="s">
        <v>140</v>
      </c>
      <c r="E23" s="1" t="s">
        <v>141</v>
      </c>
      <c r="F23" s="1" t="s">
        <v>142</v>
      </c>
      <c r="G23" s="1" t="s">
        <v>19</v>
      </c>
      <c r="H23" s="1" t="s">
        <v>62</v>
      </c>
      <c r="I23" s="1" t="s">
        <v>21</v>
      </c>
      <c r="J23">
        <v>1</v>
      </c>
      <c r="K23">
        <v>72570</v>
      </c>
      <c r="L23">
        <v>72570</v>
      </c>
      <c r="M23" s="1" t="s">
        <v>38</v>
      </c>
      <c r="N23" s="1" t="s">
        <v>46</v>
      </c>
      <c r="O23" t="str">
        <f>TEXT(SalesDataset[[#This Row],[Order_Date]],"mmm")</f>
        <v>Oct</v>
      </c>
      <c r="P23" s="1" t="str">
        <f>TEXT(SalesDataset[[#This Row],[Order_Date]],"YYYY")</f>
        <v>2025</v>
      </c>
      <c r="Q23" s="1" t="str">
        <f>_xlfn.TEXTJOIN(" ",TRUE,SalesDataset[[#This Row],[First_Name]],SalesDataset[[#This Row],[Last_Name]])</f>
        <v>Larry Myers</v>
      </c>
    </row>
    <row r="24" spans="1:17" x14ac:dyDescent="0.25">
      <c r="A24" s="1" t="s">
        <v>143</v>
      </c>
      <c r="B24" s="2">
        <v>45871</v>
      </c>
      <c r="C24" s="1" t="s">
        <v>144</v>
      </c>
      <c r="D24" s="1" t="s">
        <v>145</v>
      </c>
      <c r="E24" s="1" t="s">
        <v>146</v>
      </c>
      <c r="F24" s="1" t="s">
        <v>147</v>
      </c>
      <c r="G24" s="1" t="s">
        <v>19</v>
      </c>
      <c r="H24" s="1" t="s">
        <v>45</v>
      </c>
      <c r="I24" s="1" t="s">
        <v>21</v>
      </c>
      <c r="J24">
        <v>4</v>
      </c>
      <c r="K24">
        <v>20027</v>
      </c>
      <c r="L24">
        <v>80108</v>
      </c>
      <c r="M24" s="1" t="s">
        <v>63</v>
      </c>
      <c r="N24" s="1" t="s">
        <v>23</v>
      </c>
      <c r="O24" t="str">
        <f>TEXT(SalesDataset[[#This Row],[Order_Date]],"mmm")</f>
        <v>Aug</v>
      </c>
      <c r="P24" s="1" t="str">
        <f>TEXT(SalesDataset[[#This Row],[Order_Date]],"YYYY")</f>
        <v>2025</v>
      </c>
      <c r="Q24" s="1" t="str">
        <f>_xlfn.TEXTJOIN(" ",TRUE,SalesDataset[[#This Row],[First_Name]],SalesDataset[[#This Row],[Last_Name]])</f>
        <v>Lisa Hawkins</v>
      </c>
    </row>
    <row r="25" spans="1:17" x14ac:dyDescent="0.25">
      <c r="A25" s="1" t="s">
        <v>148</v>
      </c>
      <c r="B25" s="2">
        <v>46061</v>
      </c>
      <c r="C25" s="1" t="s">
        <v>149</v>
      </c>
      <c r="D25" s="1" t="s">
        <v>150</v>
      </c>
      <c r="E25" s="1" t="s">
        <v>151</v>
      </c>
      <c r="F25" s="1" t="s">
        <v>152</v>
      </c>
      <c r="G25" s="1" t="s">
        <v>19</v>
      </c>
      <c r="H25" s="1" t="s">
        <v>80</v>
      </c>
      <c r="I25" s="1" t="s">
        <v>21</v>
      </c>
      <c r="J25">
        <v>4</v>
      </c>
      <c r="K25">
        <v>26242</v>
      </c>
      <c r="L25">
        <v>104968</v>
      </c>
      <c r="M25" s="1" t="s">
        <v>74</v>
      </c>
      <c r="N25" s="1" t="s">
        <v>31</v>
      </c>
      <c r="O25" t="str">
        <f>TEXT(SalesDataset[[#This Row],[Order_Date]],"mmm")</f>
        <v>Feb</v>
      </c>
      <c r="P25" s="1" t="str">
        <f>TEXT(SalesDataset[[#This Row],[Order_Date]],"YYYY")</f>
        <v>2026</v>
      </c>
      <c r="Q25" s="1" t="str">
        <f>_xlfn.TEXTJOIN(" ",TRUE,SalesDataset[[#This Row],[First_Name]],SalesDataset[[#This Row],[Last_Name]])</f>
        <v>Michael Ellison</v>
      </c>
    </row>
    <row r="26" spans="1:17" x14ac:dyDescent="0.25">
      <c r="A26" s="1" t="s">
        <v>153</v>
      </c>
      <c r="B26" s="2">
        <v>45847</v>
      </c>
      <c r="C26" s="1" t="s">
        <v>154</v>
      </c>
      <c r="D26" s="1" t="s">
        <v>155</v>
      </c>
      <c r="E26" s="1" t="s">
        <v>156</v>
      </c>
      <c r="F26" s="1" t="s">
        <v>157</v>
      </c>
      <c r="G26" s="1" t="s">
        <v>102</v>
      </c>
      <c r="H26" s="1" t="s">
        <v>30</v>
      </c>
      <c r="I26" s="1" t="s">
        <v>21</v>
      </c>
      <c r="J26">
        <v>2</v>
      </c>
      <c r="K26">
        <v>34513</v>
      </c>
      <c r="L26">
        <v>69026</v>
      </c>
      <c r="M26" s="1" t="s">
        <v>22</v>
      </c>
      <c r="N26" s="1" t="s">
        <v>23</v>
      </c>
      <c r="O26" t="str">
        <f>TEXT(SalesDataset[[#This Row],[Order_Date]],"mmm")</f>
        <v>Jul</v>
      </c>
      <c r="P26" s="1" t="str">
        <f>TEXT(SalesDataset[[#This Row],[Order_Date]],"YYYY")</f>
        <v>2025</v>
      </c>
      <c r="Q26" s="1" t="str">
        <f>_xlfn.TEXTJOIN(" ",TRUE,SalesDataset[[#This Row],[First_Name]],SalesDataset[[#This Row],[Last_Name]])</f>
        <v>Craig Cummings</v>
      </c>
    </row>
    <row r="27" spans="1:17" x14ac:dyDescent="0.25">
      <c r="A27" s="1" t="s">
        <v>158</v>
      </c>
      <c r="B27" s="2">
        <v>45894</v>
      </c>
      <c r="C27" s="1" t="s">
        <v>159</v>
      </c>
      <c r="D27" s="1" t="s">
        <v>150</v>
      </c>
      <c r="E27" s="1" t="s">
        <v>160</v>
      </c>
      <c r="F27" s="1" t="s">
        <v>161</v>
      </c>
      <c r="G27" s="1" t="s">
        <v>44</v>
      </c>
      <c r="H27" s="1" t="s">
        <v>62</v>
      </c>
      <c r="I27" s="1" t="s">
        <v>21</v>
      </c>
      <c r="J27">
        <v>5</v>
      </c>
      <c r="K27">
        <v>11331</v>
      </c>
      <c r="L27">
        <v>56655</v>
      </c>
      <c r="M27" s="1" t="s">
        <v>38</v>
      </c>
      <c r="N27" s="1" t="s">
        <v>23</v>
      </c>
      <c r="O27" t="str">
        <f>TEXT(SalesDataset[[#This Row],[Order_Date]],"mmm")</f>
        <v>Aug</v>
      </c>
      <c r="P27" s="1" t="str">
        <f>TEXT(SalesDataset[[#This Row],[Order_Date]],"YYYY")</f>
        <v>2025</v>
      </c>
      <c r="Q27" s="1" t="str">
        <f>_xlfn.TEXTJOIN(" ",TRUE,SalesDataset[[#This Row],[First_Name]],SalesDataset[[#This Row],[Last_Name]])</f>
        <v>Michael Velasquez</v>
      </c>
    </row>
    <row r="28" spans="1:17" x14ac:dyDescent="0.25">
      <c r="A28" s="1" t="s">
        <v>162</v>
      </c>
      <c r="B28" s="2">
        <v>46127</v>
      </c>
      <c r="C28" s="1" t="s">
        <v>163</v>
      </c>
      <c r="D28" s="1" t="s">
        <v>164</v>
      </c>
      <c r="E28" s="1" t="s">
        <v>165</v>
      </c>
      <c r="F28" s="1" t="s">
        <v>166</v>
      </c>
      <c r="G28" s="1" t="s">
        <v>44</v>
      </c>
      <c r="H28" s="1" t="s">
        <v>30</v>
      </c>
      <c r="I28" s="1" t="s">
        <v>21</v>
      </c>
      <c r="J28">
        <v>2</v>
      </c>
      <c r="K28">
        <v>3023</v>
      </c>
      <c r="L28">
        <v>6046</v>
      </c>
      <c r="M28" s="1" t="s">
        <v>74</v>
      </c>
      <c r="N28" s="1" t="s">
        <v>31</v>
      </c>
      <c r="O28" t="str">
        <f>TEXT(SalesDataset[[#This Row],[Order_Date]],"mmm")</f>
        <v>Apr</v>
      </c>
      <c r="P28" s="1" t="str">
        <f>TEXT(SalesDataset[[#This Row],[Order_Date]],"YYYY")</f>
        <v>2026</v>
      </c>
      <c r="Q28" s="1" t="str">
        <f>_xlfn.TEXTJOIN(" ",TRUE,SalesDataset[[#This Row],[First_Name]],SalesDataset[[#This Row],[Last_Name]])</f>
        <v>Teresa Robinson</v>
      </c>
    </row>
    <row r="29" spans="1:17" x14ac:dyDescent="0.25">
      <c r="A29" s="1" t="s">
        <v>167</v>
      </c>
      <c r="B29" s="2">
        <v>45858</v>
      </c>
      <c r="C29" s="1" t="s">
        <v>168</v>
      </c>
      <c r="D29" s="1" t="s">
        <v>169</v>
      </c>
      <c r="E29" s="1" t="s">
        <v>170</v>
      </c>
      <c r="F29" s="1" t="s">
        <v>171</v>
      </c>
      <c r="G29" s="1" t="s">
        <v>102</v>
      </c>
      <c r="H29" s="1" t="s">
        <v>80</v>
      </c>
      <c r="I29" s="1" t="s">
        <v>21</v>
      </c>
      <c r="J29">
        <v>2</v>
      </c>
      <c r="K29">
        <v>52616</v>
      </c>
      <c r="L29">
        <v>105232</v>
      </c>
      <c r="M29" s="1" t="s">
        <v>38</v>
      </c>
      <c r="N29" s="1" t="s">
        <v>46</v>
      </c>
      <c r="O29" t="str">
        <f>TEXT(SalesDataset[[#This Row],[Order_Date]],"mmm")</f>
        <v>Jul</v>
      </c>
      <c r="P29" s="1" t="str">
        <f>TEXT(SalesDataset[[#This Row],[Order_Date]],"YYYY")</f>
        <v>2025</v>
      </c>
      <c r="Q29" s="1" t="str">
        <f>_xlfn.TEXTJOIN(" ",TRUE,SalesDataset[[#This Row],[First_Name]],SalesDataset[[#This Row],[Last_Name]])</f>
        <v>April Morgan</v>
      </c>
    </row>
    <row r="30" spans="1:17" x14ac:dyDescent="0.25">
      <c r="A30" s="1" t="s">
        <v>172</v>
      </c>
      <c r="B30" s="2">
        <v>46046</v>
      </c>
      <c r="C30" s="1" t="s">
        <v>173</v>
      </c>
      <c r="D30" s="1" t="s">
        <v>174</v>
      </c>
      <c r="E30" s="1" t="s">
        <v>175</v>
      </c>
      <c r="F30" s="1" t="s">
        <v>176</v>
      </c>
      <c r="G30" s="1" t="s">
        <v>19</v>
      </c>
      <c r="H30" s="1" t="s">
        <v>20</v>
      </c>
      <c r="I30" s="1" t="s">
        <v>21</v>
      </c>
      <c r="J30">
        <v>2</v>
      </c>
      <c r="K30">
        <v>79266</v>
      </c>
      <c r="L30">
        <v>158532</v>
      </c>
      <c r="M30" s="1" t="s">
        <v>63</v>
      </c>
      <c r="N30" s="1" t="s">
        <v>23</v>
      </c>
      <c r="O30" t="str">
        <f>TEXT(SalesDataset[[#This Row],[Order_Date]],"mmm")</f>
        <v>Jan</v>
      </c>
      <c r="P30" s="1" t="str">
        <f>TEXT(SalesDataset[[#This Row],[Order_Date]],"YYYY")</f>
        <v>2026</v>
      </c>
      <c r="Q30" s="1" t="str">
        <f>_xlfn.TEXTJOIN(" ",TRUE,SalesDataset[[#This Row],[First_Name]],SalesDataset[[#This Row],[Last_Name]])</f>
        <v>Nicholas Coleman</v>
      </c>
    </row>
    <row r="31" spans="1:17" x14ac:dyDescent="0.25">
      <c r="A31" s="1" t="s">
        <v>177</v>
      </c>
      <c r="B31" s="2">
        <v>46130</v>
      </c>
      <c r="C31" s="1" t="s">
        <v>178</v>
      </c>
      <c r="D31" s="1" t="s">
        <v>179</v>
      </c>
      <c r="E31" s="1" t="s">
        <v>180</v>
      </c>
      <c r="F31" s="1" t="s">
        <v>181</v>
      </c>
      <c r="G31" s="1" t="s">
        <v>19</v>
      </c>
      <c r="H31" s="1" t="s">
        <v>30</v>
      </c>
      <c r="I31" s="1" t="s">
        <v>21</v>
      </c>
      <c r="J31">
        <v>2</v>
      </c>
      <c r="K31">
        <v>76433</v>
      </c>
      <c r="L31">
        <v>152866</v>
      </c>
      <c r="M31" s="1" t="s">
        <v>22</v>
      </c>
      <c r="N31" s="1" t="s">
        <v>23</v>
      </c>
      <c r="O31" t="str">
        <f>TEXT(SalesDataset[[#This Row],[Order_Date]],"mmm")</f>
        <v>Apr</v>
      </c>
      <c r="P31" s="1" t="str">
        <f>TEXT(SalesDataset[[#This Row],[Order_Date]],"YYYY")</f>
        <v>2026</v>
      </c>
      <c r="Q31" s="1" t="str">
        <f>_xlfn.TEXTJOIN(" ",TRUE,SalesDataset[[#This Row],[First_Name]],SalesDataset[[#This Row],[Last_Name]])</f>
        <v>Gabriel Serrano</v>
      </c>
    </row>
    <row r="32" spans="1:17" x14ac:dyDescent="0.25">
      <c r="A32" s="1" t="s">
        <v>182</v>
      </c>
      <c r="B32" s="2">
        <v>45937</v>
      </c>
      <c r="C32" s="1" t="s">
        <v>183</v>
      </c>
      <c r="D32" s="1" t="s">
        <v>184</v>
      </c>
      <c r="E32" s="1" t="s">
        <v>185</v>
      </c>
      <c r="F32" s="1" t="s">
        <v>186</v>
      </c>
      <c r="G32" s="1" t="s">
        <v>19</v>
      </c>
      <c r="H32" s="1" t="s">
        <v>62</v>
      </c>
      <c r="I32" s="1" t="s">
        <v>21</v>
      </c>
      <c r="J32">
        <v>3</v>
      </c>
      <c r="K32">
        <v>31981</v>
      </c>
      <c r="L32">
        <v>95943</v>
      </c>
      <c r="M32" s="1" t="s">
        <v>38</v>
      </c>
      <c r="N32" s="1" t="s">
        <v>46</v>
      </c>
      <c r="O32" t="str">
        <f>TEXT(SalesDataset[[#This Row],[Order_Date]],"mmm")</f>
        <v>Oct</v>
      </c>
      <c r="P32" s="1" t="str">
        <f>TEXT(SalesDataset[[#This Row],[Order_Date]],"YYYY")</f>
        <v>2025</v>
      </c>
      <c r="Q32" s="1" t="str">
        <f>_xlfn.TEXTJOIN(" ",TRUE,SalesDataset[[#This Row],[First_Name]],SalesDataset[[#This Row],[Last_Name]])</f>
        <v>William Collins</v>
      </c>
    </row>
    <row r="33" spans="1:17" x14ac:dyDescent="0.25">
      <c r="A33" s="1" t="s">
        <v>187</v>
      </c>
      <c r="B33" s="2">
        <v>46077</v>
      </c>
      <c r="C33" s="1" t="s">
        <v>188</v>
      </c>
      <c r="D33" s="1" t="s">
        <v>189</v>
      </c>
      <c r="E33" s="1" t="s">
        <v>190</v>
      </c>
      <c r="F33" s="1" t="s">
        <v>191</v>
      </c>
      <c r="G33" s="1" t="s">
        <v>19</v>
      </c>
      <c r="H33" s="1" t="s">
        <v>37</v>
      </c>
      <c r="I33" s="1" t="s">
        <v>21</v>
      </c>
      <c r="J33">
        <v>4</v>
      </c>
      <c r="K33">
        <v>46311</v>
      </c>
      <c r="L33">
        <v>185244</v>
      </c>
      <c r="M33" s="1" t="s">
        <v>63</v>
      </c>
      <c r="N33" s="1" t="s">
        <v>23</v>
      </c>
      <c r="O33" t="str">
        <f>TEXT(SalesDataset[[#This Row],[Order_Date]],"mmm")</f>
        <v>Feb</v>
      </c>
      <c r="P33" s="1" t="str">
        <f>TEXT(SalesDataset[[#This Row],[Order_Date]],"YYYY")</f>
        <v>2026</v>
      </c>
      <c r="Q33" s="1" t="str">
        <f>_xlfn.TEXTJOIN(" ",TRUE,SalesDataset[[#This Row],[First_Name]],SalesDataset[[#This Row],[Last_Name]])</f>
        <v>Julian Jenkins</v>
      </c>
    </row>
    <row r="34" spans="1:17" x14ac:dyDescent="0.25">
      <c r="A34" s="1" t="s">
        <v>192</v>
      </c>
      <c r="B34" s="2">
        <v>45790</v>
      </c>
      <c r="C34" s="1" t="s">
        <v>193</v>
      </c>
      <c r="D34" s="1" t="s">
        <v>194</v>
      </c>
      <c r="E34" s="1" t="s">
        <v>136</v>
      </c>
      <c r="F34" s="1" t="s">
        <v>195</v>
      </c>
      <c r="G34" s="1" t="s">
        <v>19</v>
      </c>
      <c r="H34" s="1" t="s">
        <v>20</v>
      </c>
      <c r="I34" s="1" t="s">
        <v>21</v>
      </c>
      <c r="J34">
        <v>4</v>
      </c>
      <c r="K34">
        <v>29544</v>
      </c>
      <c r="L34">
        <v>118176</v>
      </c>
      <c r="M34" s="1" t="s">
        <v>86</v>
      </c>
      <c r="N34" s="1" t="s">
        <v>31</v>
      </c>
      <c r="O34" t="str">
        <f>TEXT(SalesDataset[[#This Row],[Order_Date]],"mmm")</f>
        <v>May</v>
      </c>
      <c r="P34" s="1" t="str">
        <f>TEXT(SalesDataset[[#This Row],[Order_Date]],"YYYY")</f>
        <v>2025</v>
      </c>
      <c r="Q34" s="1" t="str">
        <f>_xlfn.TEXTJOIN(" ",TRUE,SalesDataset[[#This Row],[First_Name]],SalesDataset[[#This Row],[Last_Name]])</f>
        <v>Ralph Moore</v>
      </c>
    </row>
    <row r="35" spans="1:17" x14ac:dyDescent="0.25">
      <c r="A35" s="1" t="s">
        <v>196</v>
      </c>
      <c r="B35" s="2">
        <v>46033</v>
      </c>
      <c r="C35" s="1" t="s">
        <v>197</v>
      </c>
      <c r="D35" s="1" t="s">
        <v>198</v>
      </c>
      <c r="E35" s="1" t="s">
        <v>199</v>
      </c>
      <c r="F35" s="1" t="s">
        <v>200</v>
      </c>
      <c r="G35" s="1" t="s">
        <v>102</v>
      </c>
      <c r="H35" s="1" t="s">
        <v>20</v>
      </c>
      <c r="I35" s="1" t="s">
        <v>21</v>
      </c>
      <c r="J35">
        <v>1</v>
      </c>
      <c r="K35">
        <v>15358</v>
      </c>
      <c r="L35">
        <v>15358</v>
      </c>
      <c r="M35" s="1" t="s">
        <v>38</v>
      </c>
      <c r="N35" s="1" t="s">
        <v>23</v>
      </c>
      <c r="O35" t="str">
        <f>TEXT(SalesDataset[[#This Row],[Order_Date]],"mmm")</f>
        <v>Jan</v>
      </c>
      <c r="P35" s="1" t="str">
        <f>TEXT(SalesDataset[[#This Row],[Order_Date]],"YYYY")</f>
        <v>2026</v>
      </c>
      <c r="Q35" s="1" t="str">
        <f>_xlfn.TEXTJOIN(" ",TRUE,SalesDataset[[#This Row],[First_Name]],SalesDataset[[#This Row],[Last_Name]])</f>
        <v>Stacey Ball</v>
      </c>
    </row>
    <row r="36" spans="1:17" x14ac:dyDescent="0.25">
      <c r="A36" s="1" t="s">
        <v>201</v>
      </c>
      <c r="B36" s="2">
        <v>45821</v>
      </c>
      <c r="C36" s="1" t="s">
        <v>202</v>
      </c>
      <c r="D36" s="1" t="s">
        <v>203</v>
      </c>
      <c r="E36" s="1" t="s">
        <v>72</v>
      </c>
      <c r="F36" s="1" t="s">
        <v>204</v>
      </c>
      <c r="G36" s="1" t="s">
        <v>102</v>
      </c>
      <c r="H36" s="1" t="s">
        <v>45</v>
      </c>
      <c r="I36" s="1" t="s">
        <v>21</v>
      </c>
      <c r="J36">
        <v>1</v>
      </c>
      <c r="K36">
        <v>20083</v>
      </c>
      <c r="L36">
        <v>20083</v>
      </c>
      <c r="M36" s="1" t="s">
        <v>86</v>
      </c>
      <c r="N36" s="1" t="s">
        <v>46</v>
      </c>
      <c r="O36" t="str">
        <f>TEXT(SalesDataset[[#This Row],[Order_Date]],"mmm")</f>
        <v>Jun</v>
      </c>
      <c r="P36" s="1" t="str">
        <f>TEXT(SalesDataset[[#This Row],[Order_Date]],"YYYY")</f>
        <v>2025</v>
      </c>
      <c r="Q36" s="1" t="str">
        <f>_xlfn.TEXTJOIN(" ",TRUE,SalesDataset[[#This Row],[First_Name]],SalesDataset[[#This Row],[Last_Name]])</f>
        <v>Julia Evans</v>
      </c>
    </row>
    <row r="37" spans="1:17" x14ac:dyDescent="0.25">
      <c r="A37" s="1" t="s">
        <v>205</v>
      </c>
      <c r="B37" s="2">
        <v>45979</v>
      </c>
      <c r="C37" s="1" t="s">
        <v>206</v>
      </c>
      <c r="D37" s="1" t="s">
        <v>207</v>
      </c>
      <c r="E37" s="1" t="s">
        <v>208</v>
      </c>
      <c r="F37" s="1" t="s">
        <v>209</v>
      </c>
      <c r="G37" s="1" t="s">
        <v>44</v>
      </c>
      <c r="H37" s="1" t="s">
        <v>37</v>
      </c>
      <c r="I37" s="1" t="s">
        <v>21</v>
      </c>
      <c r="J37">
        <v>1</v>
      </c>
      <c r="K37">
        <v>70555</v>
      </c>
      <c r="L37">
        <v>70555</v>
      </c>
      <c r="M37" s="1" t="s">
        <v>22</v>
      </c>
      <c r="N37" s="1" t="s">
        <v>31</v>
      </c>
      <c r="O37" t="str">
        <f>TEXT(SalesDataset[[#This Row],[Order_Date]],"mmm")</f>
        <v>Nov</v>
      </c>
      <c r="P37" s="1" t="str">
        <f>TEXT(SalesDataset[[#This Row],[Order_Date]],"YYYY")</f>
        <v>2025</v>
      </c>
      <c r="Q37" s="1" t="str">
        <f>_xlfn.TEXTJOIN(" ",TRUE,SalesDataset[[#This Row],[First_Name]],SalesDataset[[#This Row],[Last_Name]])</f>
        <v>Dustin Wright</v>
      </c>
    </row>
    <row r="38" spans="1:17" x14ac:dyDescent="0.25">
      <c r="A38" s="1" t="s">
        <v>210</v>
      </c>
      <c r="B38" s="2">
        <v>46057</v>
      </c>
      <c r="C38" s="1" t="s">
        <v>211</v>
      </c>
      <c r="D38" s="1" t="s">
        <v>212</v>
      </c>
      <c r="E38" s="1" t="s">
        <v>213</v>
      </c>
      <c r="F38" s="1" t="s">
        <v>214</v>
      </c>
      <c r="G38" s="1" t="s">
        <v>102</v>
      </c>
      <c r="H38" s="1" t="s">
        <v>80</v>
      </c>
      <c r="I38" s="1" t="s">
        <v>21</v>
      </c>
      <c r="J38">
        <v>4</v>
      </c>
      <c r="K38">
        <v>73476</v>
      </c>
      <c r="L38">
        <v>293904</v>
      </c>
      <c r="M38" s="1" t="s">
        <v>63</v>
      </c>
      <c r="N38" s="1" t="s">
        <v>46</v>
      </c>
      <c r="O38" t="str">
        <f>TEXT(SalesDataset[[#This Row],[Order_Date]],"mmm")</f>
        <v>Feb</v>
      </c>
      <c r="P38" s="1" t="str">
        <f>TEXT(SalesDataset[[#This Row],[Order_Date]],"YYYY")</f>
        <v>2026</v>
      </c>
      <c r="Q38" s="1" t="str">
        <f>_xlfn.TEXTJOIN(" ",TRUE,SalesDataset[[#This Row],[First_Name]],SalesDataset[[#This Row],[Last_Name]])</f>
        <v>Tiffany Farmer</v>
      </c>
    </row>
    <row r="39" spans="1:17" x14ac:dyDescent="0.25">
      <c r="A39" s="1" t="s">
        <v>215</v>
      </c>
      <c r="B39" s="2">
        <v>45794</v>
      </c>
      <c r="C39" s="1" t="s">
        <v>216</v>
      </c>
      <c r="D39" s="1" t="s">
        <v>217</v>
      </c>
      <c r="E39" s="1" t="s">
        <v>218</v>
      </c>
      <c r="F39" s="1" t="s">
        <v>219</v>
      </c>
      <c r="G39" s="1" t="s">
        <v>19</v>
      </c>
      <c r="H39" s="1" t="s">
        <v>92</v>
      </c>
      <c r="I39" s="1" t="s">
        <v>21</v>
      </c>
      <c r="J39">
        <v>5</v>
      </c>
      <c r="K39">
        <v>37199</v>
      </c>
      <c r="L39">
        <v>185995</v>
      </c>
      <c r="M39" s="1" t="s">
        <v>63</v>
      </c>
      <c r="N39" s="1" t="s">
        <v>31</v>
      </c>
      <c r="O39" t="str">
        <f>TEXT(SalesDataset[[#This Row],[Order_Date]],"mmm")</f>
        <v>May</v>
      </c>
      <c r="P39" s="1" t="str">
        <f>TEXT(SalesDataset[[#This Row],[Order_Date]],"YYYY")</f>
        <v>2025</v>
      </c>
      <c r="Q39" s="1" t="str">
        <f>_xlfn.TEXTJOIN(" ",TRUE,SalesDataset[[#This Row],[First_Name]],SalesDataset[[#This Row],[Last_Name]])</f>
        <v>Cody Parker MD</v>
      </c>
    </row>
    <row r="40" spans="1:17" x14ac:dyDescent="0.25">
      <c r="A40" s="1" t="s">
        <v>220</v>
      </c>
      <c r="B40" s="2">
        <v>46074</v>
      </c>
      <c r="C40" s="1" t="s">
        <v>221</v>
      </c>
      <c r="D40" s="1" t="s">
        <v>222</v>
      </c>
      <c r="E40" s="1" t="s">
        <v>223</v>
      </c>
      <c r="F40" s="1" t="s">
        <v>224</v>
      </c>
      <c r="G40" s="1" t="s">
        <v>19</v>
      </c>
      <c r="H40" s="1" t="s">
        <v>62</v>
      </c>
      <c r="I40" s="1" t="s">
        <v>21</v>
      </c>
      <c r="J40">
        <v>2</v>
      </c>
      <c r="K40">
        <v>37587</v>
      </c>
      <c r="L40">
        <v>75174</v>
      </c>
      <c r="M40" s="1" t="s">
        <v>22</v>
      </c>
      <c r="N40" s="1" t="s">
        <v>23</v>
      </c>
      <c r="O40" t="str">
        <f>TEXT(SalesDataset[[#This Row],[Order_Date]],"mmm")</f>
        <v>Feb</v>
      </c>
      <c r="P40" s="1" t="str">
        <f>TEXT(SalesDataset[[#This Row],[Order_Date]],"YYYY")</f>
        <v>2026</v>
      </c>
      <c r="Q40" s="1" t="str">
        <f>_xlfn.TEXTJOIN(" ",TRUE,SalesDataset[[#This Row],[First_Name]],SalesDataset[[#This Row],[Last_Name]])</f>
        <v>Andres Morris</v>
      </c>
    </row>
    <row r="41" spans="1:17" x14ac:dyDescent="0.25">
      <c r="A41" s="1" t="s">
        <v>225</v>
      </c>
      <c r="B41" s="2">
        <v>45852</v>
      </c>
      <c r="C41" s="1" t="s">
        <v>226</v>
      </c>
      <c r="D41" s="1" t="s">
        <v>227</v>
      </c>
      <c r="E41" s="1" t="s">
        <v>228</v>
      </c>
      <c r="F41" s="1" t="s">
        <v>229</v>
      </c>
      <c r="G41" s="1" t="s">
        <v>29</v>
      </c>
      <c r="H41" s="1" t="s">
        <v>30</v>
      </c>
      <c r="I41" s="1" t="s">
        <v>21</v>
      </c>
      <c r="J41">
        <v>2</v>
      </c>
      <c r="K41">
        <v>77762</v>
      </c>
      <c r="L41">
        <v>155524</v>
      </c>
      <c r="M41" s="1" t="s">
        <v>63</v>
      </c>
      <c r="N41" s="1" t="s">
        <v>23</v>
      </c>
      <c r="O41" t="str">
        <f>TEXT(SalesDataset[[#This Row],[Order_Date]],"mmm")</f>
        <v>Jul</v>
      </c>
      <c r="P41" s="1" t="str">
        <f>TEXT(SalesDataset[[#This Row],[Order_Date]],"YYYY")</f>
        <v>2025</v>
      </c>
      <c r="Q41" s="1" t="str">
        <f>_xlfn.TEXTJOIN(" ",TRUE,SalesDataset[[#This Row],[First_Name]],SalesDataset[[#This Row],[Last_Name]])</f>
        <v>Julie Anderson</v>
      </c>
    </row>
    <row r="42" spans="1:17" x14ac:dyDescent="0.25">
      <c r="A42" s="1" t="s">
        <v>230</v>
      </c>
      <c r="B42" s="2">
        <v>45972</v>
      </c>
      <c r="C42" s="1" t="s">
        <v>231</v>
      </c>
      <c r="D42" s="1" t="s">
        <v>232</v>
      </c>
      <c r="E42" s="1" t="s">
        <v>233</v>
      </c>
      <c r="F42" s="1" t="s">
        <v>234</v>
      </c>
      <c r="G42" s="1" t="s">
        <v>29</v>
      </c>
      <c r="H42" s="1" t="s">
        <v>20</v>
      </c>
      <c r="I42" s="1" t="s">
        <v>21</v>
      </c>
      <c r="J42">
        <v>3</v>
      </c>
      <c r="K42">
        <v>4507</v>
      </c>
      <c r="L42">
        <v>13521</v>
      </c>
      <c r="M42" s="1" t="s">
        <v>22</v>
      </c>
      <c r="N42" s="1" t="s">
        <v>23</v>
      </c>
      <c r="O42" t="str">
        <f>TEXT(SalesDataset[[#This Row],[Order_Date]],"mmm")</f>
        <v>Nov</v>
      </c>
      <c r="P42" s="1" t="str">
        <f>TEXT(SalesDataset[[#This Row],[Order_Date]],"YYYY")</f>
        <v>2025</v>
      </c>
      <c r="Q42" s="1" t="str">
        <f>_xlfn.TEXTJOIN(" ",TRUE,SalesDataset[[#This Row],[First_Name]],SalesDataset[[#This Row],[Last_Name]])</f>
        <v>Elijah Terrell</v>
      </c>
    </row>
    <row r="43" spans="1:17" x14ac:dyDescent="0.25">
      <c r="A43" s="1" t="s">
        <v>235</v>
      </c>
      <c r="B43" s="2">
        <v>46026</v>
      </c>
      <c r="C43" s="1" t="s">
        <v>236</v>
      </c>
      <c r="D43" s="1" t="s">
        <v>237</v>
      </c>
      <c r="E43" s="1" t="s">
        <v>55</v>
      </c>
      <c r="F43" s="1" t="s">
        <v>238</v>
      </c>
      <c r="G43" s="1" t="s">
        <v>19</v>
      </c>
      <c r="H43" s="1" t="s">
        <v>37</v>
      </c>
      <c r="I43" s="1" t="s">
        <v>21</v>
      </c>
      <c r="J43">
        <v>4</v>
      </c>
      <c r="K43">
        <v>36371</v>
      </c>
      <c r="L43">
        <v>145484</v>
      </c>
      <c r="M43" s="1" t="s">
        <v>63</v>
      </c>
      <c r="N43" s="1" t="s">
        <v>31</v>
      </c>
      <c r="O43" t="str">
        <f>TEXT(SalesDataset[[#This Row],[Order_Date]],"mmm")</f>
        <v>Jan</v>
      </c>
      <c r="P43" s="1" t="str">
        <f>TEXT(SalesDataset[[#This Row],[Order_Date]],"YYYY")</f>
        <v>2026</v>
      </c>
      <c r="Q43" s="1" t="str">
        <f>_xlfn.TEXTJOIN(" ",TRUE,SalesDataset[[#This Row],[First_Name]],SalesDataset[[#This Row],[Last_Name]])</f>
        <v>Mike Miller</v>
      </c>
    </row>
    <row r="44" spans="1:17" x14ac:dyDescent="0.25">
      <c r="A44" s="1" t="s">
        <v>239</v>
      </c>
      <c r="B44" s="2">
        <v>46021</v>
      </c>
      <c r="C44" s="1" t="s">
        <v>240</v>
      </c>
      <c r="D44" s="1" t="s">
        <v>212</v>
      </c>
      <c r="E44" s="1" t="s">
        <v>241</v>
      </c>
      <c r="F44" s="1" t="s">
        <v>242</v>
      </c>
      <c r="G44" s="1" t="s">
        <v>44</v>
      </c>
      <c r="H44" s="1" t="s">
        <v>62</v>
      </c>
      <c r="I44" s="1" t="s">
        <v>21</v>
      </c>
      <c r="J44">
        <v>2</v>
      </c>
      <c r="K44">
        <v>65432</v>
      </c>
      <c r="L44">
        <v>130864</v>
      </c>
      <c r="M44" s="1" t="s">
        <v>86</v>
      </c>
      <c r="N44" s="1" t="s">
        <v>46</v>
      </c>
      <c r="O44" t="str">
        <f>TEXT(SalesDataset[[#This Row],[Order_Date]],"mmm")</f>
        <v>Dec</v>
      </c>
      <c r="P44" s="1" t="str">
        <f>TEXT(SalesDataset[[#This Row],[Order_Date]],"YYYY")</f>
        <v>2025</v>
      </c>
      <c r="Q44" s="1" t="str">
        <f>_xlfn.TEXTJOIN(" ",TRUE,SalesDataset[[#This Row],[First_Name]],SalesDataset[[#This Row],[Last_Name]])</f>
        <v>Tiffany Walker</v>
      </c>
    </row>
    <row r="45" spans="1:17" x14ac:dyDescent="0.25">
      <c r="A45" s="1" t="s">
        <v>243</v>
      </c>
      <c r="B45" s="2">
        <v>45851</v>
      </c>
      <c r="C45" s="1" t="s">
        <v>244</v>
      </c>
      <c r="D45" s="1" t="s">
        <v>245</v>
      </c>
      <c r="E45" s="1" t="s">
        <v>246</v>
      </c>
      <c r="F45" s="1" t="s">
        <v>247</v>
      </c>
      <c r="G45" s="1" t="s">
        <v>19</v>
      </c>
      <c r="H45" s="1" t="s">
        <v>30</v>
      </c>
      <c r="I45" s="1" t="s">
        <v>21</v>
      </c>
      <c r="J45">
        <v>5</v>
      </c>
      <c r="K45">
        <v>76173</v>
      </c>
      <c r="L45">
        <v>380865</v>
      </c>
      <c r="M45" s="1" t="s">
        <v>38</v>
      </c>
      <c r="N45" s="1" t="s">
        <v>23</v>
      </c>
      <c r="O45" t="str">
        <f>TEXT(SalesDataset[[#This Row],[Order_Date]],"mmm")</f>
        <v>Jul</v>
      </c>
      <c r="P45" s="1" t="str">
        <f>TEXT(SalesDataset[[#This Row],[Order_Date]],"YYYY")</f>
        <v>2025</v>
      </c>
      <c r="Q45" s="1" t="str">
        <f>_xlfn.TEXTJOIN(" ",TRUE,SalesDataset[[#This Row],[First_Name]],SalesDataset[[#This Row],[Last_Name]])</f>
        <v>Ricky Simpson</v>
      </c>
    </row>
    <row r="46" spans="1:17" x14ac:dyDescent="0.25">
      <c r="A46" s="1" t="s">
        <v>248</v>
      </c>
      <c r="B46" s="2">
        <v>45974</v>
      </c>
      <c r="C46" s="1" t="s">
        <v>249</v>
      </c>
      <c r="D46" s="1" t="s">
        <v>250</v>
      </c>
      <c r="E46" s="1" t="s">
        <v>251</v>
      </c>
      <c r="F46" s="1" t="s">
        <v>252</v>
      </c>
      <c r="G46" s="1" t="s">
        <v>19</v>
      </c>
      <c r="H46" s="1" t="s">
        <v>30</v>
      </c>
      <c r="I46" s="1" t="s">
        <v>21</v>
      </c>
      <c r="J46">
        <v>2</v>
      </c>
      <c r="K46">
        <v>65166</v>
      </c>
      <c r="L46">
        <v>130332</v>
      </c>
      <c r="M46" s="1" t="s">
        <v>74</v>
      </c>
      <c r="N46" s="1" t="s">
        <v>46</v>
      </c>
      <c r="O46" t="str">
        <f>TEXT(SalesDataset[[#This Row],[Order_Date]],"mmm")</f>
        <v>Nov</v>
      </c>
      <c r="P46" s="1" t="str">
        <f>TEXT(SalesDataset[[#This Row],[Order_Date]],"YYYY")</f>
        <v>2025</v>
      </c>
      <c r="Q46" s="1" t="str">
        <f>_xlfn.TEXTJOIN(" ",TRUE,SalesDataset[[#This Row],[First_Name]],SalesDataset[[#This Row],[Last_Name]])</f>
        <v>Katherine Melendez</v>
      </c>
    </row>
    <row r="47" spans="1:17" x14ac:dyDescent="0.25">
      <c r="A47" s="1" t="s">
        <v>253</v>
      </c>
      <c r="B47" s="2">
        <v>45810</v>
      </c>
      <c r="C47" s="1" t="s">
        <v>254</v>
      </c>
      <c r="D47" s="1" t="s">
        <v>255</v>
      </c>
      <c r="E47" s="1" t="s">
        <v>256</v>
      </c>
      <c r="F47" s="1" t="s">
        <v>257</v>
      </c>
      <c r="G47" s="1" t="s">
        <v>19</v>
      </c>
      <c r="H47" s="1" t="s">
        <v>30</v>
      </c>
      <c r="I47" s="1" t="s">
        <v>21</v>
      </c>
      <c r="J47">
        <v>1</v>
      </c>
      <c r="K47">
        <v>70146</v>
      </c>
      <c r="L47">
        <v>70146</v>
      </c>
      <c r="M47" s="1" t="s">
        <v>74</v>
      </c>
      <c r="N47" s="1" t="s">
        <v>23</v>
      </c>
      <c r="O47" t="str">
        <f>TEXT(SalesDataset[[#This Row],[Order_Date]],"mmm")</f>
        <v>Jun</v>
      </c>
      <c r="P47" s="1" t="str">
        <f>TEXT(SalesDataset[[#This Row],[Order_Date]],"YYYY")</f>
        <v>2025</v>
      </c>
      <c r="Q47" s="1" t="str">
        <f>_xlfn.TEXTJOIN(" ",TRUE,SalesDataset[[#This Row],[First_Name]],SalesDataset[[#This Row],[Last_Name]])</f>
        <v>Kimberly Snow</v>
      </c>
    </row>
    <row r="48" spans="1:17" x14ac:dyDescent="0.25">
      <c r="A48" s="1" t="s">
        <v>258</v>
      </c>
      <c r="B48" s="2">
        <v>45826</v>
      </c>
      <c r="C48" s="1" t="s">
        <v>259</v>
      </c>
      <c r="D48" s="1" t="s">
        <v>77</v>
      </c>
      <c r="E48" s="1" t="s">
        <v>260</v>
      </c>
      <c r="F48" s="1" t="s">
        <v>261</v>
      </c>
      <c r="G48" s="1" t="s">
        <v>29</v>
      </c>
      <c r="H48" s="1" t="s">
        <v>92</v>
      </c>
      <c r="I48" s="1" t="s">
        <v>21</v>
      </c>
      <c r="J48">
        <v>4</v>
      </c>
      <c r="K48">
        <v>69083</v>
      </c>
      <c r="L48">
        <v>276332</v>
      </c>
      <c r="M48" s="1" t="s">
        <v>63</v>
      </c>
      <c r="N48" s="1" t="s">
        <v>46</v>
      </c>
      <c r="O48" t="str">
        <f>TEXT(SalesDataset[[#This Row],[Order_Date]],"mmm")</f>
        <v>Jun</v>
      </c>
      <c r="P48" s="1" t="str">
        <f>TEXT(SalesDataset[[#This Row],[Order_Date]],"YYYY")</f>
        <v>2025</v>
      </c>
      <c r="Q48" s="1" t="str">
        <f>_xlfn.TEXTJOIN(" ",TRUE,SalesDataset[[#This Row],[First_Name]],SalesDataset[[#This Row],[Last_Name]])</f>
        <v>Mark Newman</v>
      </c>
    </row>
    <row r="49" spans="1:17" x14ac:dyDescent="0.25">
      <c r="A49" s="1" t="s">
        <v>262</v>
      </c>
      <c r="B49" s="2">
        <v>46031</v>
      </c>
      <c r="C49" s="1" t="s">
        <v>263</v>
      </c>
      <c r="D49" s="1" t="s">
        <v>264</v>
      </c>
      <c r="E49" s="1" t="s">
        <v>265</v>
      </c>
      <c r="F49" s="1" t="s">
        <v>266</v>
      </c>
      <c r="G49" s="1" t="s">
        <v>102</v>
      </c>
      <c r="H49" s="1" t="s">
        <v>92</v>
      </c>
      <c r="I49" s="1" t="s">
        <v>21</v>
      </c>
      <c r="J49">
        <v>4</v>
      </c>
      <c r="K49">
        <v>23621</v>
      </c>
      <c r="L49">
        <v>94484</v>
      </c>
      <c r="M49" s="1" t="s">
        <v>74</v>
      </c>
      <c r="N49" s="1" t="s">
        <v>31</v>
      </c>
      <c r="O49" t="str">
        <f>TEXT(SalesDataset[[#This Row],[Order_Date]],"mmm")</f>
        <v>Jan</v>
      </c>
      <c r="P49" s="1" t="str">
        <f>TEXT(SalesDataset[[#This Row],[Order_Date]],"YYYY")</f>
        <v>2026</v>
      </c>
      <c r="Q49" s="1" t="str">
        <f>_xlfn.TEXTJOIN(" ",TRUE,SalesDataset[[#This Row],[First_Name]],SalesDataset[[#This Row],[Last_Name]])</f>
        <v>Alexis Carroll</v>
      </c>
    </row>
    <row r="50" spans="1:17" x14ac:dyDescent="0.25">
      <c r="A50" s="1" t="s">
        <v>267</v>
      </c>
      <c r="B50" s="2">
        <v>46106</v>
      </c>
      <c r="C50" s="1" t="s">
        <v>268</v>
      </c>
      <c r="D50" s="1" t="s">
        <v>269</v>
      </c>
      <c r="E50" s="1" t="s">
        <v>27</v>
      </c>
      <c r="F50" s="1" t="s">
        <v>270</v>
      </c>
      <c r="G50" s="1" t="s">
        <v>102</v>
      </c>
      <c r="H50" s="1" t="s">
        <v>37</v>
      </c>
      <c r="I50" s="1" t="s">
        <v>21</v>
      </c>
      <c r="J50">
        <v>4</v>
      </c>
      <c r="K50">
        <v>62712</v>
      </c>
      <c r="L50">
        <v>250848</v>
      </c>
      <c r="M50" s="1" t="s">
        <v>63</v>
      </c>
      <c r="N50" s="1" t="s">
        <v>23</v>
      </c>
      <c r="O50" t="str">
        <f>TEXT(SalesDataset[[#This Row],[Order_Date]],"mmm")</f>
        <v>Mar</v>
      </c>
      <c r="P50" s="1" t="str">
        <f>TEXT(SalesDataset[[#This Row],[Order_Date]],"YYYY")</f>
        <v>2026</v>
      </c>
      <c r="Q50" s="1" t="str">
        <f>_xlfn.TEXTJOIN(" ",TRUE,SalesDataset[[#This Row],[First_Name]],SalesDataset[[#This Row],[Last_Name]])</f>
        <v>Megan Hernandez</v>
      </c>
    </row>
    <row r="51" spans="1:17" x14ac:dyDescent="0.25">
      <c r="A51" s="1" t="s">
        <v>271</v>
      </c>
      <c r="B51" s="2">
        <v>45900</v>
      </c>
      <c r="C51" s="1" t="s">
        <v>272</v>
      </c>
      <c r="D51" s="1" t="s">
        <v>273</v>
      </c>
      <c r="E51" s="1" t="s">
        <v>228</v>
      </c>
      <c r="F51" s="1" t="s">
        <v>274</v>
      </c>
      <c r="G51" s="1" t="s">
        <v>19</v>
      </c>
      <c r="H51" s="1" t="s">
        <v>45</v>
      </c>
      <c r="I51" s="1" t="s">
        <v>21</v>
      </c>
      <c r="J51">
        <v>1</v>
      </c>
      <c r="K51">
        <v>76176</v>
      </c>
      <c r="L51">
        <v>76176</v>
      </c>
      <c r="M51" s="1" t="s">
        <v>63</v>
      </c>
      <c r="N51" s="1" t="s">
        <v>23</v>
      </c>
      <c r="O51" t="str">
        <f>TEXT(SalesDataset[[#This Row],[Order_Date]],"mmm")</f>
        <v>Aug</v>
      </c>
      <c r="P51" s="1" t="str">
        <f>TEXT(SalesDataset[[#This Row],[Order_Date]],"YYYY")</f>
        <v>2025</v>
      </c>
      <c r="Q51" s="1" t="str">
        <f>_xlfn.TEXTJOIN(" ",TRUE,SalesDataset[[#This Row],[First_Name]],SalesDataset[[#This Row],[Last_Name]])</f>
        <v>Robert Anderson</v>
      </c>
    </row>
    <row r="52" spans="1:17" x14ac:dyDescent="0.25">
      <c r="A52" s="1" t="s">
        <v>275</v>
      </c>
      <c r="B52" s="2">
        <v>46088</v>
      </c>
      <c r="C52" s="1" t="s">
        <v>276</v>
      </c>
      <c r="D52" s="1" t="s">
        <v>77</v>
      </c>
      <c r="E52" s="1" t="s">
        <v>277</v>
      </c>
      <c r="F52" s="1" t="s">
        <v>278</v>
      </c>
      <c r="G52" s="1" t="s">
        <v>44</v>
      </c>
      <c r="H52" s="1" t="s">
        <v>92</v>
      </c>
      <c r="I52" s="1" t="s">
        <v>21</v>
      </c>
      <c r="J52">
        <v>4</v>
      </c>
      <c r="K52">
        <v>78330</v>
      </c>
      <c r="L52">
        <v>313320</v>
      </c>
      <c r="M52" s="1" t="s">
        <v>22</v>
      </c>
      <c r="N52" s="1" t="s">
        <v>31</v>
      </c>
      <c r="O52" t="str">
        <f>TEXT(SalesDataset[[#This Row],[Order_Date]],"mmm")</f>
        <v>Mar</v>
      </c>
      <c r="P52" s="1" t="str">
        <f>TEXT(SalesDataset[[#This Row],[Order_Date]],"YYYY")</f>
        <v>2026</v>
      </c>
      <c r="Q52" s="1" t="str">
        <f>_xlfn.TEXTJOIN(" ",TRUE,SalesDataset[[#This Row],[First_Name]],SalesDataset[[#This Row],[Last_Name]])</f>
        <v>Mark Jackson</v>
      </c>
    </row>
    <row r="53" spans="1:17" x14ac:dyDescent="0.25">
      <c r="A53" s="1" t="s">
        <v>279</v>
      </c>
      <c r="B53" s="2">
        <v>46035</v>
      </c>
      <c r="C53" s="1" t="s">
        <v>25</v>
      </c>
      <c r="D53" s="1" t="s">
        <v>280</v>
      </c>
      <c r="E53" s="1" t="s">
        <v>281</v>
      </c>
      <c r="F53" s="1" t="s">
        <v>282</v>
      </c>
      <c r="G53" s="1" t="s">
        <v>19</v>
      </c>
      <c r="H53" s="1" t="s">
        <v>30</v>
      </c>
      <c r="I53" s="1" t="s">
        <v>21</v>
      </c>
      <c r="J53">
        <v>2</v>
      </c>
      <c r="K53">
        <v>63993</v>
      </c>
      <c r="L53">
        <v>127986</v>
      </c>
      <c r="M53" s="1" t="s">
        <v>86</v>
      </c>
      <c r="N53" s="1" t="s">
        <v>31</v>
      </c>
      <c r="O53" t="str">
        <f>TEXT(SalesDataset[[#This Row],[Order_Date]],"mmm")</f>
        <v>Jan</v>
      </c>
      <c r="P53" s="1" t="str">
        <f>TEXT(SalesDataset[[#This Row],[Order_Date]],"YYYY")</f>
        <v>2026</v>
      </c>
      <c r="Q53" s="1" t="str">
        <f>_xlfn.TEXTJOIN(" ",TRUE,SalesDataset[[#This Row],[First_Name]],SalesDataset[[#This Row],[Last_Name]])</f>
        <v>Nicole Thomas</v>
      </c>
    </row>
    <row r="54" spans="1:17" x14ac:dyDescent="0.25">
      <c r="A54" s="1" t="s">
        <v>283</v>
      </c>
      <c r="B54" s="2">
        <v>46052</v>
      </c>
      <c r="C54" s="1" t="s">
        <v>284</v>
      </c>
      <c r="D54" s="1" t="s">
        <v>66</v>
      </c>
      <c r="E54" s="1" t="s">
        <v>285</v>
      </c>
      <c r="F54" s="1" t="s">
        <v>286</v>
      </c>
      <c r="G54" s="1" t="s">
        <v>29</v>
      </c>
      <c r="H54" s="1" t="s">
        <v>62</v>
      </c>
      <c r="I54" s="1" t="s">
        <v>21</v>
      </c>
      <c r="J54">
        <v>3</v>
      </c>
      <c r="K54">
        <v>78929</v>
      </c>
      <c r="L54">
        <v>236787</v>
      </c>
      <c r="M54" s="1" t="s">
        <v>38</v>
      </c>
      <c r="N54" s="1" t="s">
        <v>31</v>
      </c>
      <c r="O54" t="str">
        <f>TEXT(SalesDataset[[#This Row],[Order_Date]],"mmm")</f>
        <v>Jan</v>
      </c>
      <c r="P54" s="1" t="str">
        <f>TEXT(SalesDataset[[#This Row],[Order_Date]],"YYYY")</f>
        <v>2026</v>
      </c>
      <c r="Q54" s="1" t="str">
        <f>_xlfn.TEXTJOIN(" ",TRUE,SalesDataset[[#This Row],[First_Name]],SalesDataset[[#This Row],[Last_Name]])</f>
        <v>Angela Fox</v>
      </c>
    </row>
    <row r="55" spans="1:17" x14ac:dyDescent="0.25">
      <c r="A55" s="1" t="s">
        <v>287</v>
      </c>
      <c r="B55" s="2">
        <v>46095</v>
      </c>
      <c r="C55" s="1" t="s">
        <v>288</v>
      </c>
      <c r="D55" s="1" t="s">
        <v>289</v>
      </c>
      <c r="E55" s="1" t="s">
        <v>290</v>
      </c>
      <c r="F55" s="1" t="s">
        <v>291</v>
      </c>
      <c r="G55" s="1" t="s">
        <v>44</v>
      </c>
      <c r="H55" s="1" t="s">
        <v>92</v>
      </c>
      <c r="I55" s="1" t="s">
        <v>21</v>
      </c>
      <c r="J55">
        <v>5</v>
      </c>
      <c r="K55">
        <v>5910</v>
      </c>
      <c r="L55">
        <v>29550</v>
      </c>
      <c r="M55" s="1" t="s">
        <v>63</v>
      </c>
      <c r="N55" s="1" t="s">
        <v>46</v>
      </c>
      <c r="O55" t="str">
        <f>TEXT(SalesDataset[[#This Row],[Order_Date]],"mmm")</f>
        <v>Mar</v>
      </c>
      <c r="P55" s="1" t="str">
        <f>TEXT(SalesDataset[[#This Row],[Order_Date]],"YYYY")</f>
        <v>2026</v>
      </c>
      <c r="Q55" s="1" t="str">
        <f>_xlfn.TEXTJOIN(" ",TRUE,SalesDataset[[#This Row],[First_Name]],SalesDataset[[#This Row],[Last_Name]])</f>
        <v>Catherine Levine</v>
      </c>
    </row>
    <row r="56" spans="1:17" x14ac:dyDescent="0.25">
      <c r="A56" s="1" t="s">
        <v>292</v>
      </c>
      <c r="B56" s="2">
        <v>45879</v>
      </c>
      <c r="C56" s="1" t="s">
        <v>293</v>
      </c>
      <c r="D56" s="1" t="s">
        <v>273</v>
      </c>
      <c r="E56" s="1" t="s">
        <v>100</v>
      </c>
      <c r="F56" s="1" t="s">
        <v>294</v>
      </c>
      <c r="G56" s="1" t="s">
        <v>19</v>
      </c>
      <c r="H56" s="1" t="s">
        <v>80</v>
      </c>
      <c r="I56" s="1" t="s">
        <v>21</v>
      </c>
      <c r="J56">
        <v>1</v>
      </c>
      <c r="K56">
        <v>53282</v>
      </c>
      <c r="L56">
        <v>53282</v>
      </c>
      <c r="M56" s="1" t="s">
        <v>63</v>
      </c>
      <c r="N56" s="1" t="s">
        <v>31</v>
      </c>
      <c r="O56" t="str">
        <f>TEXT(SalesDataset[[#This Row],[Order_Date]],"mmm")</f>
        <v>Aug</v>
      </c>
      <c r="P56" s="1" t="str">
        <f>TEXT(SalesDataset[[#This Row],[Order_Date]],"YYYY")</f>
        <v>2025</v>
      </c>
      <c r="Q56" s="1" t="str">
        <f>_xlfn.TEXTJOIN(" ",TRUE,SalesDataset[[#This Row],[First_Name]],SalesDataset[[#This Row],[Last_Name]])</f>
        <v>Robert Kelly</v>
      </c>
    </row>
    <row r="57" spans="1:17" x14ac:dyDescent="0.25">
      <c r="A57" s="1" t="s">
        <v>295</v>
      </c>
      <c r="B57" s="2">
        <v>45857</v>
      </c>
      <c r="C57" s="1" t="s">
        <v>296</v>
      </c>
      <c r="D57" s="1" t="s">
        <v>297</v>
      </c>
      <c r="E57" s="1" t="s">
        <v>131</v>
      </c>
      <c r="F57" s="1" t="s">
        <v>298</v>
      </c>
      <c r="G57" s="1" t="s">
        <v>19</v>
      </c>
      <c r="H57" s="1" t="s">
        <v>92</v>
      </c>
      <c r="I57" s="1" t="s">
        <v>21</v>
      </c>
      <c r="J57">
        <v>1</v>
      </c>
      <c r="K57">
        <v>67851</v>
      </c>
      <c r="L57">
        <v>67851</v>
      </c>
      <c r="M57" s="1" t="s">
        <v>74</v>
      </c>
      <c r="N57" s="1" t="s">
        <v>46</v>
      </c>
      <c r="O57" t="str">
        <f>TEXT(SalesDataset[[#This Row],[Order_Date]],"mmm")</f>
        <v>Jul</v>
      </c>
      <c r="P57" s="1" t="str">
        <f>TEXT(SalesDataset[[#This Row],[Order_Date]],"YYYY")</f>
        <v>2025</v>
      </c>
      <c r="Q57" s="1" t="str">
        <f>_xlfn.TEXTJOIN(" ",TRUE,SalesDataset[[#This Row],[First_Name]],SalesDataset[[#This Row],[Last_Name]])</f>
        <v>Crystal Smith</v>
      </c>
    </row>
    <row r="58" spans="1:17" x14ac:dyDescent="0.25">
      <c r="A58" s="1" t="s">
        <v>299</v>
      </c>
      <c r="B58" s="2">
        <v>45840</v>
      </c>
      <c r="C58" s="1" t="s">
        <v>300</v>
      </c>
      <c r="D58" s="1" t="s">
        <v>110</v>
      </c>
      <c r="E58" s="1" t="s">
        <v>301</v>
      </c>
      <c r="F58" s="1" t="s">
        <v>302</v>
      </c>
      <c r="G58" s="1" t="s">
        <v>29</v>
      </c>
      <c r="H58" s="1" t="s">
        <v>37</v>
      </c>
      <c r="I58" s="1" t="s">
        <v>21</v>
      </c>
      <c r="J58">
        <v>5</v>
      </c>
      <c r="K58">
        <v>17256</v>
      </c>
      <c r="L58">
        <v>86280</v>
      </c>
      <c r="M58" s="1" t="s">
        <v>86</v>
      </c>
      <c r="N58" s="1" t="s">
        <v>23</v>
      </c>
      <c r="O58" t="str">
        <f>TEXT(SalesDataset[[#This Row],[Order_Date]],"mmm")</f>
        <v>Jul</v>
      </c>
      <c r="P58" s="1" t="str">
        <f>TEXT(SalesDataset[[#This Row],[Order_Date]],"YYYY")</f>
        <v>2025</v>
      </c>
      <c r="Q58" s="1" t="str">
        <f>_xlfn.TEXTJOIN(" ",TRUE,SalesDataset[[#This Row],[First_Name]],SalesDataset[[#This Row],[Last_Name]])</f>
        <v>Ronald Sims</v>
      </c>
    </row>
    <row r="59" spans="1:17" x14ac:dyDescent="0.25">
      <c r="A59" s="1" t="s">
        <v>303</v>
      </c>
      <c r="B59" s="2">
        <v>46130</v>
      </c>
      <c r="C59" s="1" t="s">
        <v>304</v>
      </c>
      <c r="D59" s="1" t="s">
        <v>305</v>
      </c>
      <c r="E59" s="1" t="s">
        <v>241</v>
      </c>
      <c r="F59" s="1" t="s">
        <v>306</v>
      </c>
      <c r="G59" s="1" t="s">
        <v>19</v>
      </c>
      <c r="H59" s="1" t="s">
        <v>37</v>
      </c>
      <c r="I59" s="1" t="s">
        <v>21</v>
      </c>
      <c r="J59">
        <v>5</v>
      </c>
      <c r="K59">
        <v>73493</v>
      </c>
      <c r="L59">
        <v>367465</v>
      </c>
      <c r="M59" s="1" t="s">
        <v>38</v>
      </c>
      <c r="N59" s="1" t="s">
        <v>46</v>
      </c>
      <c r="O59" t="str">
        <f>TEXT(SalesDataset[[#This Row],[Order_Date]],"mmm")</f>
        <v>Apr</v>
      </c>
      <c r="P59" s="1" t="str">
        <f>TEXT(SalesDataset[[#This Row],[Order_Date]],"YYYY")</f>
        <v>2026</v>
      </c>
      <c r="Q59" s="1" t="str">
        <f>_xlfn.TEXTJOIN(" ",TRUE,SalesDataset[[#This Row],[First_Name]],SalesDataset[[#This Row],[Last_Name]])</f>
        <v>Christopher Walker</v>
      </c>
    </row>
    <row r="60" spans="1:17" x14ac:dyDescent="0.25">
      <c r="A60" s="1" t="s">
        <v>307</v>
      </c>
      <c r="B60" s="2">
        <v>45964</v>
      </c>
      <c r="C60" s="1" t="s">
        <v>308</v>
      </c>
      <c r="D60" s="1" t="s">
        <v>309</v>
      </c>
      <c r="E60" s="1" t="s">
        <v>310</v>
      </c>
      <c r="F60" s="1" t="s">
        <v>311</v>
      </c>
      <c r="G60" s="1" t="s">
        <v>44</v>
      </c>
      <c r="H60" s="1" t="s">
        <v>62</v>
      </c>
      <c r="I60" s="1" t="s">
        <v>21</v>
      </c>
      <c r="J60">
        <v>5</v>
      </c>
      <c r="K60">
        <v>53391</v>
      </c>
      <c r="L60">
        <v>266955</v>
      </c>
      <c r="M60" s="1" t="s">
        <v>38</v>
      </c>
      <c r="N60" s="1" t="s">
        <v>23</v>
      </c>
      <c r="O60" t="str">
        <f>TEXT(SalesDataset[[#This Row],[Order_Date]],"mmm")</f>
        <v>Nov</v>
      </c>
      <c r="P60" s="1" t="str">
        <f>TEXT(SalesDataset[[#This Row],[Order_Date]],"YYYY")</f>
        <v>2025</v>
      </c>
      <c r="Q60" s="1" t="str">
        <f>_xlfn.TEXTJOIN(" ",TRUE,SalesDataset[[#This Row],[First_Name]],SalesDataset[[#This Row],[Last_Name]])</f>
        <v>Tracy Bauer</v>
      </c>
    </row>
    <row r="61" spans="1:17" x14ac:dyDescent="0.25">
      <c r="A61" s="1" t="s">
        <v>312</v>
      </c>
      <c r="B61" s="2">
        <v>45837</v>
      </c>
      <c r="C61" s="1" t="s">
        <v>313</v>
      </c>
      <c r="D61" s="1" t="s">
        <v>155</v>
      </c>
      <c r="E61" s="1" t="s">
        <v>150</v>
      </c>
      <c r="F61" s="1" t="s">
        <v>314</v>
      </c>
      <c r="G61" s="1" t="s">
        <v>102</v>
      </c>
      <c r="H61" s="1" t="s">
        <v>92</v>
      </c>
      <c r="I61" s="1" t="s">
        <v>21</v>
      </c>
      <c r="J61">
        <v>4</v>
      </c>
      <c r="K61">
        <v>12462</v>
      </c>
      <c r="L61">
        <v>49848</v>
      </c>
      <c r="M61" s="1" t="s">
        <v>22</v>
      </c>
      <c r="N61" s="1" t="s">
        <v>31</v>
      </c>
      <c r="O61" t="str">
        <f>TEXT(SalesDataset[[#This Row],[Order_Date]],"mmm")</f>
        <v>Jun</v>
      </c>
      <c r="P61" s="1" t="str">
        <f>TEXT(SalesDataset[[#This Row],[Order_Date]],"YYYY")</f>
        <v>2025</v>
      </c>
      <c r="Q61" s="1" t="str">
        <f>_xlfn.TEXTJOIN(" ",TRUE,SalesDataset[[#This Row],[First_Name]],SalesDataset[[#This Row],[Last_Name]])</f>
        <v>Craig Michael</v>
      </c>
    </row>
    <row r="62" spans="1:17" x14ac:dyDescent="0.25">
      <c r="A62" s="1" t="s">
        <v>315</v>
      </c>
      <c r="B62" s="2">
        <v>45898</v>
      </c>
      <c r="C62" s="1" t="s">
        <v>316</v>
      </c>
      <c r="D62" s="1" t="s">
        <v>317</v>
      </c>
      <c r="E62" s="1" t="s">
        <v>318</v>
      </c>
      <c r="F62" s="1" t="s">
        <v>319</v>
      </c>
      <c r="G62" s="1" t="s">
        <v>19</v>
      </c>
      <c r="H62" s="1" t="s">
        <v>92</v>
      </c>
      <c r="I62" s="1" t="s">
        <v>21</v>
      </c>
      <c r="J62">
        <v>1</v>
      </c>
      <c r="K62">
        <v>36202</v>
      </c>
      <c r="L62">
        <v>36202</v>
      </c>
      <c r="M62" s="1" t="s">
        <v>63</v>
      </c>
      <c r="N62" s="1" t="s">
        <v>31</v>
      </c>
      <c r="O62" t="str">
        <f>TEXT(SalesDataset[[#This Row],[Order_Date]],"mmm")</f>
        <v>Aug</v>
      </c>
      <c r="P62" s="1" t="str">
        <f>TEXT(SalesDataset[[#This Row],[Order_Date]],"YYYY")</f>
        <v>2025</v>
      </c>
      <c r="Q62" s="1" t="str">
        <f>_xlfn.TEXTJOIN(" ",TRUE,SalesDataset[[#This Row],[First_Name]],SalesDataset[[#This Row],[Last_Name]])</f>
        <v>Anthony Garner</v>
      </c>
    </row>
    <row r="63" spans="1:17" x14ac:dyDescent="0.25">
      <c r="A63" s="1" t="s">
        <v>320</v>
      </c>
      <c r="B63" s="2">
        <v>45828</v>
      </c>
      <c r="C63" s="1" t="s">
        <v>321</v>
      </c>
      <c r="D63" s="1" t="s">
        <v>322</v>
      </c>
      <c r="E63" s="1" t="s">
        <v>323</v>
      </c>
      <c r="F63" s="1" t="s">
        <v>324</v>
      </c>
      <c r="G63" s="1" t="s">
        <v>44</v>
      </c>
      <c r="H63" s="1" t="s">
        <v>37</v>
      </c>
      <c r="I63" s="1" t="s">
        <v>21</v>
      </c>
      <c r="J63">
        <v>4</v>
      </c>
      <c r="K63">
        <v>68822</v>
      </c>
      <c r="L63">
        <v>275288</v>
      </c>
      <c r="M63" s="1" t="s">
        <v>74</v>
      </c>
      <c r="N63" s="1" t="s">
        <v>23</v>
      </c>
      <c r="O63" t="str">
        <f>TEXT(SalesDataset[[#This Row],[Order_Date]],"mmm")</f>
        <v>Jun</v>
      </c>
      <c r="P63" s="1" t="str">
        <f>TEXT(SalesDataset[[#This Row],[Order_Date]],"YYYY")</f>
        <v>2025</v>
      </c>
      <c r="Q63" s="1" t="str">
        <f>_xlfn.TEXTJOIN(" ",TRUE,SalesDataset[[#This Row],[First_Name]],SalesDataset[[#This Row],[Last_Name]])</f>
        <v>Mandy Davidson</v>
      </c>
    </row>
    <row r="64" spans="1:17" x14ac:dyDescent="0.25">
      <c r="A64" s="1" t="s">
        <v>325</v>
      </c>
      <c r="B64" s="2">
        <v>46039</v>
      </c>
      <c r="C64" s="1" t="s">
        <v>326</v>
      </c>
      <c r="D64" s="1" t="s">
        <v>327</v>
      </c>
      <c r="E64" s="1" t="s">
        <v>136</v>
      </c>
      <c r="F64" s="1" t="s">
        <v>328</v>
      </c>
      <c r="G64" s="1" t="s">
        <v>44</v>
      </c>
      <c r="H64" s="1" t="s">
        <v>92</v>
      </c>
      <c r="I64" s="1" t="s">
        <v>21</v>
      </c>
      <c r="J64">
        <v>5</v>
      </c>
      <c r="K64">
        <v>9158</v>
      </c>
      <c r="L64">
        <v>45790</v>
      </c>
      <c r="M64" s="1" t="s">
        <v>86</v>
      </c>
      <c r="N64" s="1" t="s">
        <v>23</v>
      </c>
      <c r="O64" t="str">
        <f>TEXT(SalesDataset[[#This Row],[Order_Date]],"mmm")</f>
        <v>Jan</v>
      </c>
      <c r="P64" s="1" t="str">
        <f>TEXT(SalesDataset[[#This Row],[Order_Date]],"YYYY")</f>
        <v>2026</v>
      </c>
      <c r="Q64" s="1" t="str">
        <f>_xlfn.TEXTJOIN(" ",TRUE,SalesDataset[[#This Row],[First_Name]],SalesDataset[[#This Row],[Last_Name]])</f>
        <v>Jacob Moore</v>
      </c>
    </row>
    <row r="65" spans="1:17" x14ac:dyDescent="0.25">
      <c r="A65" s="1" t="s">
        <v>329</v>
      </c>
      <c r="B65" s="2">
        <v>46074</v>
      </c>
      <c r="C65" s="1" t="s">
        <v>330</v>
      </c>
      <c r="D65" s="1" t="s">
        <v>184</v>
      </c>
      <c r="E65" s="1" t="s">
        <v>126</v>
      </c>
      <c r="F65" s="1" t="s">
        <v>331</v>
      </c>
      <c r="G65" s="1" t="s">
        <v>19</v>
      </c>
      <c r="H65" s="1" t="s">
        <v>45</v>
      </c>
      <c r="I65" s="1" t="s">
        <v>21</v>
      </c>
      <c r="J65">
        <v>1</v>
      </c>
      <c r="K65">
        <v>33652</v>
      </c>
      <c r="L65">
        <v>33652</v>
      </c>
      <c r="M65" s="1" t="s">
        <v>63</v>
      </c>
      <c r="N65" s="1" t="s">
        <v>31</v>
      </c>
      <c r="O65" t="str">
        <f>TEXT(SalesDataset[[#This Row],[Order_Date]],"mmm")</f>
        <v>Feb</v>
      </c>
      <c r="P65" s="1" t="str">
        <f>TEXT(SalesDataset[[#This Row],[Order_Date]],"YYYY")</f>
        <v>2026</v>
      </c>
      <c r="Q65" s="1" t="str">
        <f>_xlfn.TEXTJOIN(" ",TRUE,SalesDataset[[#This Row],[First_Name]],SalesDataset[[#This Row],[Last_Name]])</f>
        <v>William Phillips</v>
      </c>
    </row>
    <row r="66" spans="1:17" x14ac:dyDescent="0.25">
      <c r="A66" s="1" t="s">
        <v>332</v>
      </c>
      <c r="B66" s="2">
        <v>46134</v>
      </c>
      <c r="C66" s="1" t="s">
        <v>333</v>
      </c>
      <c r="D66" s="1" t="s">
        <v>334</v>
      </c>
      <c r="E66" s="1" t="s">
        <v>131</v>
      </c>
      <c r="F66" s="1" t="s">
        <v>335</v>
      </c>
      <c r="G66" s="1" t="s">
        <v>102</v>
      </c>
      <c r="H66" s="1" t="s">
        <v>45</v>
      </c>
      <c r="I66" s="1" t="s">
        <v>21</v>
      </c>
      <c r="J66">
        <v>5</v>
      </c>
      <c r="K66">
        <v>15712</v>
      </c>
      <c r="L66">
        <v>78560</v>
      </c>
      <c r="M66" s="1" t="s">
        <v>86</v>
      </c>
      <c r="N66" s="1" t="s">
        <v>46</v>
      </c>
      <c r="O66" t="str">
        <f>TEXT(SalesDataset[[#This Row],[Order_Date]],"mmm")</f>
        <v>Apr</v>
      </c>
      <c r="P66" s="1" t="str">
        <f>TEXT(SalesDataset[[#This Row],[Order_Date]],"YYYY")</f>
        <v>2026</v>
      </c>
      <c r="Q66" s="1" t="str">
        <f>_xlfn.TEXTJOIN(" ",TRUE,SalesDataset[[#This Row],[First_Name]],SalesDataset[[#This Row],[Last_Name]])</f>
        <v>Marissa Smith</v>
      </c>
    </row>
    <row r="67" spans="1:17" x14ac:dyDescent="0.25">
      <c r="A67" s="1" t="s">
        <v>336</v>
      </c>
      <c r="B67" s="2">
        <v>45970</v>
      </c>
      <c r="C67" s="1" t="s">
        <v>337</v>
      </c>
      <c r="D67" s="1" t="s">
        <v>338</v>
      </c>
      <c r="E67" s="1" t="s">
        <v>339</v>
      </c>
      <c r="F67" s="1" t="s">
        <v>340</v>
      </c>
      <c r="G67" s="1" t="s">
        <v>44</v>
      </c>
      <c r="H67" s="1" t="s">
        <v>37</v>
      </c>
      <c r="I67" s="1" t="s">
        <v>21</v>
      </c>
      <c r="J67">
        <v>5</v>
      </c>
      <c r="K67">
        <v>16881</v>
      </c>
      <c r="L67">
        <v>84405</v>
      </c>
      <c r="M67" s="1" t="s">
        <v>38</v>
      </c>
      <c r="N67" s="1" t="s">
        <v>23</v>
      </c>
      <c r="O67" t="str">
        <f>TEXT(SalesDataset[[#This Row],[Order_Date]],"mmm")</f>
        <v>Nov</v>
      </c>
      <c r="P67" s="1" t="str">
        <f>TEXT(SalesDataset[[#This Row],[Order_Date]],"YYYY")</f>
        <v>2025</v>
      </c>
      <c r="Q67" s="1" t="str">
        <f>_xlfn.TEXTJOIN(" ",TRUE,SalesDataset[[#This Row],[First_Name]],SalesDataset[[#This Row],[Last_Name]])</f>
        <v>Kenneth Sanchez</v>
      </c>
    </row>
    <row r="68" spans="1:17" x14ac:dyDescent="0.25">
      <c r="A68" s="1" t="s">
        <v>341</v>
      </c>
      <c r="B68" s="2">
        <v>45908</v>
      </c>
      <c r="C68" s="1" t="s">
        <v>342</v>
      </c>
      <c r="D68" s="1" t="s">
        <v>343</v>
      </c>
      <c r="E68" s="1" t="s">
        <v>344</v>
      </c>
      <c r="F68" s="1" t="s">
        <v>345</v>
      </c>
      <c r="G68" s="1" t="s">
        <v>19</v>
      </c>
      <c r="H68" s="1" t="s">
        <v>20</v>
      </c>
      <c r="I68" s="1" t="s">
        <v>21</v>
      </c>
      <c r="J68">
        <v>1</v>
      </c>
      <c r="K68">
        <v>57248</v>
      </c>
      <c r="L68">
        <v>57248</v>
      </c>
      <c r="M68" s="1" t="s">
        <v>22</v>
      </c>
      <c r="N68" s="1" t="s">
        <v>31</v>
      </c>
      <c r="O68" t="str">
        <f>TEXT(SalesDataset[[#This Row],[Order_Date]],"mmm")</f>
        <v>Sep</v>
      </c>
      <c r="P68" s="1" t="str">
        <f>TEXT(SalesDataset[[#This Row],[Order_Date]],"YYYY")</f>
        <v>2025</v>
      </c>
      <c r="Q68" s="1" t="str">
        <f>_xlfn.TEXTJOIN(" ",TRUE,SalesDataset[[#This Row],[First_Name]],SalesDataset[[#This Row],[Last_Name]])</f>
        <v>Diane Haynes</v>
      </c>
    </row>
    <row r="69" spans="1:17" x14ac:dyDescent="0.25">
      <c r="A69" s="1" t="s">
        <v>346</v>
      </c>
      <c r="B69" s="2">
        <v>46048</v>
      </c>
      <c r="C69" s="1" t="s">
        <v>347</v>
      </c>
      <c r="D69" s="1" t="s">
        <v>348</v>
      </c>
      <c r="E69" s="1" t="s">
        <v>349</v>
      </c>
      <c r="F69" s="1" t="s">
        <v>350</v>
      </c>
      <c r="G69" s="1" t="s">
        <v>44</v>
      </c>
      <c r="H69" s="1" t="s">
        <v>80</v>
      </c>
      <c r="I69" s="1" t="s">
        <v>21</v>
      </c>
      <c r="J69">
        <v>5</v>
      </c>
      <c r="K69">
        <v>2037</v>
      </c>
      <c r="L69">
        <v>10185</v>
      </c>
      <c r="M69" s="1" t="s">
        <v>38</v>
      </c>
      <c r="N69" s="1" t="s">
        <v>31</v>
      </c>
      <c r="O69" t="str">
        <f>TEXT(SalesDataset[[#This Row],[Order_Date]],"mmm")</f>
        <v>Jan</v>
      </c>
      <c r="P69" s="1" t="str">
        <f>TEXT(SalesDataset[[#This Row],[Order_Date]],"YYYY")</f>
        <v>2026</v>
      </c>
      <c r="Q69" s="1" t="str">
        <f>_xlfn.TEXTJOIN(" ",TRUE,SalesDataset[[#This Row],[First_Name]],SalesDataset[[#This Row],[Last_Name]])</f>
        <v>Kirk Carr</v>
      </c>
    </row>
    <row r="70" spans="1:17" x14ac:dyDescent="0.25">
      <c r="A70" s="1" t="s">
        <v>351</v>
      </c>
      <c r="B70" s="2">
        <v>46126</v>
      </c>
      <c r="C70" s="1" t="s">
        <v>352</v>
      </c>
      <c r="D70" s="1" t="s">
        <v>203</v>
      </c>
      <c r="E70" s="1" t="s">
        <v>281</v>
      </c>
      <c r="F70" s="1" t="s">
        <v>353</v>
      </c>
      <c r="G70" s="1" t="s">
        <v>19</v>
      </c>
      <c r="H70" s="1" t="s">
        <v>20</v>
      </c>
      <c r="I70" s="1" t="s">
        <v>21</v>
      </c>
      <c r="J70">
        <v>3</v>
      </c>
      <c r="K70">
        <v>54394</v>
      </c>
      <c r="L70">
        <v>163182</v>
      </c>
      <c r="M70" s="1" t="s">
        <v>38</v>
      </c>
      <c r="N70" s="1" t="s">
        <v>31</v>
      </c>
      <c r="O70" t="str">
        <f>TEXT(SalesDataset[[#This Row],[Order_Date]],"mmm")</f>
        <v>Apr</v>
      </c>
      <c r="P70" s="1" t="str">
        <f>TEXT(SalesDataset[[#This Row],[Order_Date]],"YYYY")</f>
        <v>2026</v>
      </c>
      <c r="Q70" s="1" t="str">
        <f>_xlfn.TEXTJOIN(" ",TRUE,SalesDataset[[#This Row],[First_Name]],SalesDataset[[#This Row],[Last_Name]])</f>
        <v>Julia Thomas</v>
      </c>
    </row>
    <row r="71" spans="1:17" x14ac:dyDescent="0.25">
      <c r="A71" s="1" t="s">
        <v>354</v>
      </c>
      <c r="B71" s="2">
        <v>46099</v>
      </c>
      <c r="C71" s="1" t="s">
        <v>355</v>
      </c>
      <c r="D71" s="1" t="s">
        <v>356</v>
      </c>
      <c r="E71" s="1" t="s">
        <v>357</v>
      </c>
      <c r="F71" s="1" t="s">
        <v>358</v>
      </c>
      <c r="G71" s="1" t="s">
        <v>29</v>
      </c>
      <c r="H71" s="1" t="s">
        <v>62</v>
      </c>
      <c r="I71" s="1" t="s">
        <v>21</v>
      </c>
      <c r="J71">
        <v>4</v>
      </c>
      <c r="K71">
        <v>46217</v>
      </c>
      <c r="L71">
        <v>184868</v>
      </c>
      <c r="M71" s="1" t="s">
        <v>22</v>
      </c>
      <c r="N71" s="1" t="s">
        <v>23</v>
      </c>
      <c r="O71" t="str">
        <f>TEXT(SalesDataset[[#This Row],[Order_Date]],"mmm")</f>
        <v>Mar</v>
      </c>
      <c r="P71" s="1" t="str">
        <f>TEXT(SalesDataset[[#This Row],[Order_Date]],"YYYY")</f>
        <v>2026</v>
      </c>
      <c r="Q71" s="1" t="str">
        <f>_xlfn.TEXTJOIN(" ",TRUE,SalesDataset[[#This Row],[First_Name]],SalesDataset[[#This Row],[Last_Name]])</f>
        <v>Beth Newton</v>
      </c>
    </row>
    <row r="72" spans="1:17" x14ac:dyDescent="0.25">
      <c r="A72" s="1" t="s">
        <v>359</v>
      </c>
      <c r="B72" s="2">
        <v>45886</v>
      </c>
      <c r="C72" s="1" t="s">
        <v>360</v>
      </c>
      <c r="D72" s="1" t="s">
        <v>361</v>
      </c>
      <c r="E72" s="1" t="s">
        <v>121</v>
      </c>
      <c r="F72" s="1" t="s">
        <v>362</v>
      </c>
      <c r="G72" s="1" t="s">
        <v>102</v>
      </c>
      <c r="H72" s="1" t="s">
        <v>92</v>
      </c>
      <c r="I72" s="1" t="s">
        <v>21</v>
      </c>
      <c r="J72">
        <v>3</v>
      </c>
      <c r="K72">
        <v>59016</v>
      </c>
      <c r="L72">
        <v>177048</v>
      </c>
      <c r="M72" s="1" t="s">
        <v>22</v>
      </c>
      <c r="N72" s="1" t="s">
        <v>23</v>
      </c>
      <c r="O72" t="str">
        <f>TEXT(SalesDataset[[#This Row],[Order_Date]],"mmm")</f>
        <v>Aug</v>
      </c>
      <c r="P72" s="1" t="str">
        <f>TEXT(SalesDataset[[#This Row],[Order_Date]],"YYYY")</f>
        <v>2025</v>
      </c>
      <c r="Q72" s="1" t="str">
        <f>_xlfn.TEXTJOIN(" ",TRUE,SalesDataset[[#This Row],[First_Name]],SalesDataset[[#This Row],[Last_Name]])</f>
        <v>Richard Davis</v>
      </c>
    </row>
    <row r="73" spans="1:17" x14ac:dyDescent="0.25">
      <c r="A73" s="1" t="s">
        <v>363</v>
      </c>
      <c r="B73" s="2">
        <v>46132</v>
      </c>
      <c r="C73" s="1" t="s">
        <v>364</v>
      </c>
      <c r="D73" s="1" t="s">
        <v>365</v>
      </c>
      <c r="E73" s="1" t="s">
        <v>366</v>
      </c>
      <c r="F73" s="1" t="s">
        <v>367</v>
      </c>
      <c r="G73" s="1" t="s">
        <v>44</v>
      </c>
      <c r="H73" s="1" t="s">
        <v>45</v>
      </c>
      <c r="I73" s="1" t="s">
        <v>21</v>
      </c>
      <c r="J73">
        <v>5</v>
      </c>
      <c r="K73">
        <v>28369</v>
      </c>
      <c r="L73">
        <v>141845</v>
      </c>
      <c r="M73" s="1" t="s">
        <v>22</v>
      </c>
      <c r="N73" s="1" t="s">
        <v>31</v>
      </c>
      <c r="O73" t="str">
        <f>TEXT(SalesDataset[[#This Row],[Order_Date]],"mmm")</f>
        <v>Apr</v>
      </c>
      <c r="P73" s="1" t="str">
        <f>TEXT(SalesDataset[[#This Row],[Order_Date]],"YYYY")</f>
        <v>2026</v>
      </c>
      <c r="Q73" s="1" t="str">
        <f>_xlfn.TEXTJOIN(" ",TRUE,SalesDataset[[#This Row],[First_Name]],SalesDataset[[#This Row],[Last_Name]])</f>
        <v>Randall Joseph</v>
      </c>
    </row>
    <row r="74" spans="1:17" x14ac:dyDescent="0.25">
      <c r="A74" s="1" t="s">
        <v>368</v>
      </c>
      <c r="B74" s="2">
        <v>45779</v>
      </c>
      <c r="C74" s="1" t="s">
        <v>369</v>
      </c>
      <c r="D74" s="1" t="s">
        <v>77</v>
      </c>
      <c r="E74" s="1" t="s">
        <v>370</v>
      </c>
      <c r="F74" s="1" t="s">
        <v>371</v>
      </c>
      <c r="G74" s="1" t="s">
        <v>29</v>
      </c>
      <c r="H74" s="1" t="s">
        <v>92</v>
      </c>
      <c r="I74" s="1" t="s">
        <v>21</v>
      </c>
      <c r="J74">
        <v>5</v>
      </c>
      <c r="K74">
        <v>66372</v>
      </c>
      <c r="L74">
        <v>331860</v>
      </c>
      <c r="M74" s="1" t="s">
        <v>74</v>
      </c>
      <c r="N74" s="1" t="s">
        <v>31</v>
      </c>
      <c r="O74" t="str">
        <f>TEXT(SalesDataset[[#This Row],[Order_Date]],"mmm")</f>
        <v>May</v>
      </c>
      <c r="P74" s="1" t="str">
        <f>TEXT(SalesDataset[[#This Row],[Order_Date]],"YYYY")</f>
        <v>2025</v>
      </c>
      <c r="Q74" s="1" t="str">
        <f>_xlfn.TEXTJOIN(" ",TRUE,SalesDataset[[#This Row],[First_Name]],SalesDataset[[#This Row],[Last_Name]])</f>
        <v>Mark Thompson</v>
      </c>
    </row>
    <row r="75" spans="1:17" x14ac:dyDescent="0.25">
      <c r="A75" s="1" t="s">
        <v>372</v>
      </c>
      <c r="B75" s="2">
        <v>45902</v>
      </c>
      <c r="C75" s="1" t="s">
        <v>373</v>
      </c>
      <c r="D75" s="1" t="s">
        <v>255</v>
      </c>
      <c r="E75" s="1" t="s">
        <v>374</v>
      </c>
      <c r="F75" s="1" t="s">
        <v>375</v>
      </c>
      <c r="G75" s="1" t="s">
        <v>19</v>
      </c>
      <c r="H75" s="1" t="s">
        <v>80</v>
      </c>
      <c r="I75" s="1" t="s">
        <v>21</v>
      </c>
      <c r="J75">
        <v>2</v>
      </c>
      <c r="K75">
        <v>56138</v>
      </c>
      <c r="L75">
        <v>112276</v>
      </c>
      <c r="M75" s="1" t="s">
        <v>74</v>
      </c>
      <c r="N75" s="1" t="s">
        <v>23</v>
      </c>
      <c r="O75" t="str">
        <f>TEXT(SalesDataset[[#This Row],[Order_Date]],"mmm")</f>
        <v>Sep</v>
      </c>
      <c r="P75" s="1" t="str">
        <f>TEXT(SalesDataset[[#This Row],[Order_Date]],"YYYY")</f>
        <v>2025</v>
      </c>
      <c r="Q75" s="1" t="str">
        <f>_xlfn.TEXTJOIN(" ",TRUE,SalesDataset[[#This Row],[First_Name]],SalesDataset[[#This Row],[Last_Name]])</f>
        <v>Kimberly Martinez</v>
      </c>
    </row>
    <row r="76" spans="1:17" x14ac:dyDescent="0.25">
      <c r="A76" s="1" t="s">
        <v>376</v>
      </c>
      <c r="B76" s="2">
        <v>45847</v>
      </c>
      <c r="C76" s="1" t="s">
        <v>377</v>
      </c>
      <c r="D76" s="1" t="s">
        <v>378</v>
      </c>
      <c r="E76" s="1" t="s">
        <v>379</v>
      </c>
      <c r="F76" s="1" t="s">
        <v>380</v>
      </c>
      <c r="G76" s="1" t="s">
        <v>19</v>
      </c>
      <c r="H76" s="1" t="s">
        <v>92</v>
      </c>
      <c r="I76" s="1" t="s">
        <v>21</v>
      </c>
      <c r="J76">
        <v>5</v>
      </c>
      <c r="K76">
        <v>46857</v>
      </c>
      <c r="L76">
        <v>234285</v>
      </c>
      <c r="M76" s="1" t="s">
        <v>22</v>
      </c>
      <c r="N76" s="1" t="s">
        <v>23</v>
      </c>
      <c r="O76" t="str">
        <f>TEXT(SalesDataset[[#This Row],[Order_Date]],"mmm")</f>
        <v>Jul</v>
      </c>
      <c r="P76" s="1" t="str">
        <f>TEXT(SalesDataset[[#This Row],[Order_Date]],"YYYY")</f>
        <v>2025</v>
      </c>
      <c r="Q76" s="1" t="str">
        <f>_xlfn.TEXTJOIN(" ",TRUE,SalesDataset[[#This Row],[First_Name]],SalesDataset[[#This Row],[Last_Name]])</f>
        <v>Brian Salinas</v>
      </c>
    </row>
    <row r="77" spans="1:17" x14ac:dyDescent="0.25">
      <c r="A77" s="1" t="s">
        <v>381</v>
      </c>
      <c r="B77" s="2">
        <v>45847</v>
      </c>
      <c r="C77" s="1" t="s">
        <v>382</v>
      </c>
      <c r="D77" s="1" t="s">
        <v>383</v>
      </c>
      <c r="E77" s="1" t="s">
        <v>384</v>
      </c>
      <c r="F77" s="1" t="s">
        <v>385</v>
      </c>
      <c r="G77" s="1" t="s">
        <v>44</v>
      </c>
      <c r="H77" s="1" t="s">
        <v>80</v>
      </c>
      <c r="I77" s="1" t="s">
        <v>21</v>
      </c>
      <c r="J77">
        <v>5</v>
      </c>
      <c r="K77">
        <v>25749</v>
      </c>
      <c r="L77">
        <v>128745</v>
      </c>
      <c r="M77" s="1" t="s">
        <v>38</v>
      </c>
      <c r="N77" s="1" t="s">
        <v>23</v>
      </c>
      <c r="O77" t="str">
        <f>TEXT(SalesDataset[[#This Row],[Order_Date]],"mmm")</f>
        <v>Jul</v>
      </c>
      <c r="P77" s="1" t="str">
        <f>TEXT(SalesDataset[[#This Row],[Order_Date]],"YYYY")</f>
        <v>2025</v>
      </c>
      <c r="Q77" s="1" t="str">
        <f>_xlfn.TEXTJOIN(" ",TRUE,SalesDataset[[#This Row],[First_Name]],SalesDataset[[#This Row],[Last_Name]])</f>
        <v>Melissa Ortiz</v>
      </c>
    </row>
    <row r="78" spans="1:17" x14ac:dyDescent="0.25">
      <c r="A78" s="1" t="s">
        <v>386</v>
      </c>
      <c r="B78" s="2">
        <v>46045</v>
      </c>
      <c r="C78" s="1" t="s">
        <v>387</v>
      </c>
      <c r="D78" s="1" t="s">
        <v>273</v>
      </c>
      <c r="E78" s="1" t="s">
        <v>388</v>
      </c>
      <c r="F78" s="1" t="s">
        <v>389</v>
      </c>
      <c r="G78" s="1" t="s">
        <v>29</v>
      </c>
      <c r="H78" s="1" t="s">
        <v>30</v>
      </c>
      <c r="I78" s="1" t="s">
        <v>21</v>
      </c>
      <c r="J78">
        <v>4</v>
      </c>
      <c r="K78">
        <v>58376</v>
      </c>
      <c r="L78">
        <v>233504</v>
      </c>
      <c r="M78" s="1" t="s">
        <v>63</v>
      </c>
      <c r="N78" s="1" t="s">
        <v>46</v>
      </c>
      <c r="O78" t="str">
        <f>TEXT(SalesDataset[[#This Row],[Order_Date]],"mmm")</f>
        <v>Jan</v>
      </c>
      <c r="P78" s="1" t="str">
        <f>TEXT(SalesDataset[[#This Row],[Order_Date]],"YYYY")</f>
        <v>2026</v>
      </c>
      <c r="Q78" s="1" t="str">
        <f>_xlfn.TEXTJOIN(" ",TRUE,SalesDataset[[#This Row],[First_Name]],SalesDataset[[#This Row],[Last_Name]])</f>
        <v>Robert Lewis</v>
      </c>
    </row>
    <row r="79" spans="1:17" x14ac:dyDescent="0.25">
      <c r="A79" s="1" t="s">
        <v>390</v>
      </c>
      <c r="B79" s="2">
        <v>45869</v>
      </c>
      <c r="C79" s="1" t="s">
        <v>391</v>
      </c>
      <c r="D79" s="1" t="s">
        <v>392</v>
      </c>
      <c r="E79" s="1" t="s">
        <v>393</v>
      </c>
      <c r="F79" s="1" t="s">
        <v>394</v>
      </c>
      <c r="G79" s="1" t="s">
        <v>44</v>
      </c>
      <c r="H79" s="1" t="s">
        <v>37</v>
      </c>
      <c r="I79" s="1" t="s">
        <v>21</v>
      </c>
      <c r="J79">
        <v>1</v>
      </c>
      <c r="K79">
        <v>36187</v>
      </c>
      <c r="L79">
        <v>36187</v>
      </c>
      <c r="M79" s="1" t="s">
        <v>86</v>
      </c>
      <c r="N79" s="1" t="s">
        <v>23</v>
      </c>
      <c r="O79" t="str">
        <f>TEXT(SalesDataset[[#This Row],[Order_Date]],"mmm")</f>
        <v>Jul</v>
      </c>
      <c r="P79" s="1" t="str">
        <f>TEXT(SalesDataset[[#This Row],[Order_Date]],"YYYY")</f>
        <v>2025</v>
      </c>
      <c r="Q79" s="1" t="str">
        <f>_xlfn.TEXTJOIN(" ",TRUE,SalesDataset[[#This Row],[First_Name]],SalesDataset[[#This Row],[Last_Name]])</f>
        <v>Keith Boone</v>
      </c>
    </row>
    <row r="80" spans="1:17" x14ac:dyDescent="0.25">
      <c r="A80" s="1" t="s">
        <v>395</v>
      </c>
      <c r="B80" s="2">
        <v>46090</v>
      </c>
      <c r="C80" s="1" t="s">
        <v>396</v>
      </c>
      <c r="D80" s="1" t="s">
        <v>397</v>
      </c>
      <c r="E80" s="1" t="s">
        <v>27</v>
      </c>
      <c r="F80" s="1" t="s">
        <v>398</v>
      </c>
      <c r="G80" s="1" t="s">
        <v>29</v>
      </c>
      <c r="H80" s="1" t="s">
        <v>80</v>
      </c>
      <c r="I80" s="1" t="s">
        <v>21</v>
      </c>
      <c r="J80">
        <v>5</v>
      </c>
      <c r="K80">
        <v>70077</v>
      </c>
      <c r="L80">
        <v>350385</v>
      </c>
      <c r="M80" s="1" t="s">
        <v>38</v>
      </c>
      <c r="N80" s="1" t="s">
        <v>31</v>
      </c>
      <c r="O80" t="str">
        <f>TEXT(SalesDataset[[#This Row],[Order_Date]],"mmm")</f>
        <v>Mar</v>
      </c>
      <c r="P80" s="1" t="str">
        <f>TEXT(SalesDataset[[#This Row],[Order_Date]],"YYYY")</f>
        <v>2026</v>
      </c>
      <c r="Q80" s="1" t="str">
        <f>_xlfn.TEXTJOIN(" ",TRUE,SalesDataset[[#This Row],[First_Name]],SalesDataset[[#This Row],[Last_Name]])</f>
        <v>Christy Hernandez</v>
      </c>
    </row>
    <row r="81" spans="1:17" x14ac:dyDescent="0.25">
      <c r="A81" s="1" t="s">
        <v>399</v>
      </c>
      <c r="B81" s="2">
        <v>46068</v>
      </c>
      <c r="C81" s="1" t="s">
        <v>400</v>
      </c>
      <c r="D81" s="1" t="s">
        <v>401</v>
      </c>
      <c r="E81" s="1" t="s">
        <v>402</v>
      </c>
      <c r="F81" s="1" t="s">
        <v>403</v>
      </c>
      <c r="G81" s="1" t="s">
        <v>44</v>
      </c>
      <c r="H81" s="1" t="s">
        <v>80</v>
      </c>
      <c r="I81" s="1" t="s">
        <v>21</v>
      </c>
      <c r="J81">
        <v>2</v>
      </c>
      <c r="K81">
        <v>17160</v>
      </c>
      <c r="L81">
        <v>34320</v>
      </c>
      <c r="M81" s="1" t="s">
        <v>86</v>
      </c>
      <c r="N81" s="1" t="s">
        <v>31</v>
      </c>
      <c r="O81" t="str">
        <f>TEXT(SalesDataset[[#This Row],[Order_Date]],"mmm")</f>
        <v>Feb</v>
      </c>
      <c r="P81" s="1" t="str">
        <f>TEXT(SalesDataset[[#This Row],[Order_Date]],"YYYY")</f>
        <v>2026</v>
      </c>
      <c r="Q81" s="1" t="str">
        <f>_xlfn.TEXTJOIN(" ",TRUE,SalesDataset[[#This Row],[First_Name]],SalesDataset[[#This Row],[Last_Name]])</f>
        <v>Scott Welch</v>
      </c>
    </row>
    <row r="82" spans="1:17" x14ac:dyDescent="0.25">
      <c r="A82" s="1" t="s">
        <v>404</v>
      </c>
      <c r="B82" s="2">
        <v>45933</v>
      </c>
      <c r="C82" s="1" t="s">
        <v>405</v>
      </c>
      <c r="D82" s="1" t="s">
        <v>322</v>
      </c>
      <c r="E82" s="1" t="s">
        <v>406</v>
      </c>
      <c r="F82" s="1" t="s">
        <v>407</v>
      </c>
      <c r="G82" s="1" t="s">
        <v>102</v>
      </c>
      <c r="H82" s="1" t="s">
        <v>80</v>
      </c>
      <c r="I82" s="1" t="s">
        <v>21</v>
      </c>
      <c r="J82">
        <v>5</v>
      </c>
      <c r="K82">
        <v>4188</v>
      </c>
      <c r="L82">
        <v>20940</v>
      </c>
      <c r="M82" s="1" t="s">
        <v>63</v>
      </c>
      <c r="N82" s="1" t="s">
        <v>23</v>
      </c>
      <c r="O82" t="str">
        <f>TEXT(SalesDataset[[#This Row],[Order_Date]],"mmm")</f>
        <v>Oct</v>
      </c>
      <c r="P82" s="1" t="str">
        <f>TEXT(SalesDataset[[#This Row],[Order_Date]],"YYYY")</f>
        <v>2025</v>
      </c>
      <c r="Q82" s="1" t="str">
        <f>_xlfn.TEXTJOIN(" ",TRUE,SalesDataset[[#This Row],[First_Name]],SalesDataset[[#This Row],[Last_Name]])</f>
        <v>Mandy Cortez</v>
      </c>
    </row>
    <row r="83" spans="1:17" x14ac:dyDescent="0.25">
      <c r="A83" s="1" t="s">
        <v>408</v>
      </c>
      <c r="B83" s="2">
        <v>45905</v>
      </c>
      <c r="C83" s="1" t="s">
        <v>409</v>
      </c>
      <c r="D83" s="1" t="s">
        <v>410</v>
      </c>
      <c r="E83" s="1" t="s">
        <v>411</v>
      </c>
      <c r="F83" s="1" t="s">
        <v>412</v>
      </c>
      <c r="G83" s="1" t="s">
        <v>19</v>
      </c>
      <c r="H83" s="1" t="s">
        <v>80</v>
      </c>
      <c r="I83" s="1" t="s">
        <v>21</v>
      </c>
      <c r="J83">
        <v>2</v>
      </c>
      <c r="K83">
        <v>31828</v>
      </c>
      <c r="L83">
        <v>63656</v>
      </c>
      <c r="M83" s="1" t="s">
        <v>38</v>
      </c>
      <c r="N83" s="1" t="s">
        <v>23</v>
      </c>
      <c r="O83" t="str">
        <f>TEXT(SalesDataset[[#This Row],[Order_Date]],"mmm")</f>
        <v>Sep</v>
      </c>
      <c r="P83" s="1" t="str">
        <f>TEXT(SalesDataset[[#This Row],[Order_Date]],"YYYY")</f>
        <v>2025</v>
      </c>
      <c r="Q83" s="1" t="str">
        <f>_xlfn.TEXTJOIN(" ",TRUE,SalesDataset[[#This Row],[First_Name]],SalesDataset[[#This Row],[Last_Name]])</f>
        <v>Sandra Noble</v>
      </c>
    </row>
    <row r="84" spans="1:17" x14ac:dyDescent="0.25">
      <c r="A84" s="1" t="s">
        <v>413</v>
      </c>
      <c r="B84" s="2">
        <v>45868</v>
      </c>
      <c r="C84" s="1" t="s">
        <v>414</v>
      </c>
      <c r="D84" s="1" t="s">
        <v>415</v>
      </c>
      <c r="E84" s="1" t="s">
        <v>416</v>
      </c>
      <c r="F84" s="1" t="s">
        <v>417</v>
      </c>
      <c r="G84" s="1" t="s">
        <v>29</v>
      </c>
      <c r="H84" s="1" t="s">
        <v>92</v>
      </c>
      <c r="I84" s="1" t="s">
        <v>21</v>
      </c>
      <c r="J84">
        <v>1</v>
      </c>
      <c r="K84">
        <v>72345</v>
      </c>
      <c r="L84">
        <v>72345</v>
      </c>
      <c r="M84" s="1" t="s">
        <v>63</v>
      </c>
      <c r="N84" s="1" t="s">
        <v>23</v>
      </c>
      <c r="O84" t="str">
        <f>TEXT(SalesDataset[[#This Row],[Order_Date]],"mmm")</f>
        <v>Jul</v>
      </c>
      <c r="P84" s="1" t="str">
        <f>TEXT(SalesDataset[[#This Row],[Order_Date]],"YYYY")</f>
        <v>2025</v>
      </c>
      <c r="Q84" s="1" t="str">
        <f>_xlfn.TEXTJOIN(" ",TRUE,SalesDataset[[#This Row],[First_Name]],SalesDataset[[#This Row],[Last_Name]])</f>
        <v>Collin Garcia</v>
      </c>
    </row>
    <row r="85" spans="1:17" x14ac:dyDescent="0.25">
      <c r="A85" s="1" t="s">
        <v>418</v>
      </c>
      <c r="B85" s="2">
        <v>46008</v>
      </c>
      <c r="C85" s="1" t="s">
        <v>188</v>
      </c>
      <c r="D85" s="1" t="s">
        <v>150</v>
      </c>
      <c r="E85" s="1" t="s">
        <v>419</v>
      </c>
      <c r="F85" s="1" t="s">
        <v>420</v>
      </c>
      <c r="G85" s="1" t="s">
        <v>19</v>
      </c>
      <c r="H85" s="1" t="s">
        <v>45</v>
      </c>
      <c r="I85" s="1" t="s">
        <v>21</v>
      </c>
      <c r="J85">
        <v>5</v>
      </c>
      <c r="K85">
        <v>1815</v>
      </c>
      <c r="L85">
        <v>9075</v>
      </c>
      <c r="M85" s="1" t="s">
        <v>63</v>
      </c>
      <c r="N85" s="1" t="s">
        <v>31</v>
      </c>
      <c r="O85" t="str">
        <f>TEXT(SalesDataset[[#This Row],[Order_Date]],"mmm")</f>
        <v>Dec</v>
      </c>
      <c r="P85" s="1" t="str">
        <f>TEXT(SalesDataset[[#This Row],[Order_Date]],"YYYY")</f>
        <v>2025</v>
      </c>
      <c r="Q85" s="1" t="str">
        <f>_xlfn.TEXTJOIN(" ",TRUE,SalesDataset[[#This Row],[First_Name]],SalesDataset[[#This Row],[Last_Name]])</f>
        <v>Michael Robles</v>
      </c>
    </row>
    <row r="86" spans="1:17" x14ac:dyDescent="0.25">
      <c r="A86" s="1" t="s">
        <v>421</v>
      </c>
      <c r="B86" s="2">
        <v>45986</v>
      </c>
      <c r="C86" s="1" t="s">
        <v>405</v>
      </c>
      <c r="D86" s="1" t="s">
        <v>422</v>
      </c>
      <c r="E86" s="1" t="s">
        <v>423</v>
      </c>
      <c r="F86" s="1" t="s">
        <v>424</v>
      </c>
      <c r="G86" s="1" t="s">
        <v>29</v>
      </c>
      <c r="H86" s="1" t="s">
        <v>92</v>
      </c>
      <c r="I86" s="1" t="s">
        <v>21</v>
      </c>
      <c r="J86">
        <v>5</v>
      </c>
      <c r="K86">
        <v>76671</v>
      </c>
      <c r="L86">
        <v>383355</v>
      </c>
      <c r="M86" s="1" t="s">
        <v>63</v>
      </c>
      <c r="N86" s="1" t="s">
        <v>46</v>
      </c>
      <c r="O86" t="str">
        <f>TEXT(SalesDataset[[#This Row],[Order_Date]],"mmm")</f>
        <v>Nov</v>
      </c>
      <c r="P86" s="1" t="str">
        <f>TEXT(SalesDataset[[#This Row],[Order_Date]],"YYYY")</f>
        <v>2025</v>
      </c>
      <c r="Q86" s="1" t="str">
        <f>_xlfn.TEXTJOIN(" ",TRUE,SalesDataset[[#This Row],[First_Name]],SalesDataset[[#This Row],[Last_Name]])</f>
        <v>Philip Chandler</v>
      </c>
    </row>
    <row r="87" spans="1:17" x14ac:dyDescent="0.25">
      <c r="A87" s="1" t="s">
        <v>425</v>
      </c>
      <c r="B87" s="2">
        <v>45980</v>
      </c>
      <c r="C87" s="1" t="s">
        <v>426</v>
      </c>
      <c r="D87" s="1" t="s">
        <v>427</v>
      </c>
      <c r="E87" s="1" t="s">
        <v>428</v>
      </c>
      <c r="F87" s="1" t="s">
        <v>429</v>
      </c>
      <c r="G87" s="1" t="s">
        <v>19</v>
      </c>
      <c r="H87" s="1" t="s">
        <v>45</v>
      </c>
      <c r="I87" s="1" t="s">
        <v>21</v>
      </c>
      <c r="J87">
        <v>1</v>
      </c>
      <c r="K87">
        <v>30889</v>
      </c>
      <c r="L87">
        <v>30889</v>
      </c>
      <c r="M87" s="1" t="s">
        <v>38</v>
      </c>
      <c r="N87" s="1" t="s">
        <v>31</v>
      </c>
      <c r="O87" t="str">
        <f>TEXT(SalesDataset[[#This Row],[Order_Date]],"mmm")</f>
        <v>Nov</v>
      </c>
      <c r="P87" s="1" t="str">
        <f>TEXT(SalesDataset[[#This Row],[Order_Date]],"YYYY")</f>
        <v>2025</v>
      </c>
      <c r="Q87" s="1" t="str">
        <f>_xlfn.TEXTJOIN(" ",TRUE,SalesDataset[[#This Row],[First_Name]],SalesDataset[[#This Row],[Last_Name]])</f>
        <v>Mr. Cody Stewart</v>
      </c>
    </row>
    <row r="88" spans="1:17" x14ac:dyDescent="0.25">
      <c r="A88" s="1" t="s">
        <v>430</v>
      </c>
      <c r="B88" s="2">
        <v>45825</v>
      </c>
      <c r="C88" s="1" t="s">
        <v>431</v>
      </c>
      <c r="D88" s="1" t="s">
        <v>432</v>
      </c>
      <c r="E88" s="1" t="s">
        <v>433</v>
      </c>
      <c r="F88" s="1" t="s">
        <v>434</v>
      </c>
      <c r="G88" s="1" t="s">
        <v>19</v>
      </c>
      <c r="H88" s="1" t="s">
        <v>37</v>
      </c>
      <c r="I88" s="1" t="s">
        <v>21</v>
      </c>
      <c r="J88">
        <v>3</v>
      </c>
      <c r="K88">
        <v>3568</v>
      </c>
      <c r="L88">
        <v>10704</v>
      </c>
      <c r="M88" s="1" t="s">
        <v>63</v>
      </c>
      <c r="N88" s="1" t="s">
        <v>23</v>
      </c>
      <c r="O88" t="str">
        <f>TEXT(SalesDataset[[#This Row],[Order_Date]],"mmm")</f>
        <v>Jun</v>
      </c>
      <c r="P88" s="1" t="str">
        <f>TEXT(SalesDataset[[#This Row],[Order_Date]],"YYYY")</f>
        <v>2025</v>
      </c>
      <c r="Q88" s="1" t="str">
        <f>_xlfn.TEXTJOIN(" ",TRUE,SalesDataset[[#This Row],[First_Name]],SalesDataset[[#This Row],[Last_Name]])</f>
        <v>Luis Conley</v>
      </c>
    </row>
    <row r="89" spans="1:17" x14ac:dyDescent="0.25">
      <c r="A89" s="1" t="s">
        <v>435</v>
      </c>
      <c r="B89" s="2">
        <v>46123</v>
      </c>
      <c r="C89" s="1" t="s">
        <v>436</v>
      </c>
      <c r="D89" s="1" t="s">
        <v>437</v>
      </c>
      <c r="E89" s="1" t="s">
        <v>175</v>
      </c>
      <c r="F89" s="1" t="s">
        <v>438</v>
      </c>
      <c r="G89" s="1" t="s">
        <v>44</v>
      </c>
      <c r="H89" s="1" t="s">
        <v>62</v>
      </c>
      <c r="I89" s="1" t="s">
        <v>21</v>
      </c>
      <c r="J89">
        <v>1</v>
      </c>
      <c r="K89">
        <v>79426</v>
      </c>
      <c r="L89">
        <v>79426</v>
      </c>
      <c r="M89" s="1" t="s">
        <v>63</v>
      </c>
      <c r="N89" s="1" t="s">
        <v>31</v>
      </c>
      <c r="O89" t="str">
        <f>TEXT(SalesDataset[[#This Row],[Order_Date]],"mmm")</f>
        <v>Apr</v>
      </c>
      <c r="P89" s="1" t="str">
        <f>TEXT(SalesDataset[[#This Row],[Order_Date]],"YYYY")</f>
        <v>2026</v>
      </c>
      <c r="Q89" s="1" t="str">
        <f>_xlfn.TEXTJOIN(" ",TRUE,SalesDataset[[#This Row],[First_Name]],SalesDataset[[#This Row],[Last_Name]])</f>
        <v>Brandon Coleman</v>
      </c>
    </row>
    <row r="90" spans="1:17" x14ac:dyDescent="0.25">
      <c r="A90" s="1" t="s">
        <v>439</v>
      </c>
      <c r="B90" s="2">
        <v>46127</v>
      </c>
      <c r="C90" s="1" t="s">
        <v>440</v>
      </c>
      <c r="D90" s="1" t="s">
        <v>34</v>
      </c>
      <c r="E90" s="1" t="s">
        <v>441</v>
      </c>
      <c r="F90" s="1" t="s">
        <v>442</v>
      </c>
      <c r="G90" s="1" t="s">
        <v>29</v>
      </c>
      <c r="H90" s="1" t="s">
        <v>45</v>
      </c>
      <c r="I90" s="1" t="s">
        <v>21</v>
      </c>
      <c r="J90">
        <v>3</v>
      </c>
      <c r="K90">
        <v>78417</v>
      </c>
      <c r="L90">
        <v>235251</v>
      </c>
      <c r="M90" s="1" t="s">
        <v>74</v>
      </c>
      <c r="N90" s="1" t="s">
        <v>46</v>
      </c>
      <c r="O90" t="str">
        <f>TEXT(SalesDataset[[#This Row],[Order_Date]],"mmm")</f>
        <v>Apr</v>
      </c>
      <c r="P90" s="1" t="str">
        <f>TEXT(SalesDataset[[#This Row],[Order_Date]],"YYYY")</f>
        <v>2026</v>
      </c>
      <c r="Q90" s="1" t="str">
        <f>_xlfn.TEXTJOIN(" ",TRUE,SalesDataset[[#This Row],[First_Name]],SalesDataset[[#This Row],[Last_Name]])</f>
        <v>Jennifer Ford</v>
      </c>
    </row>
    <row r="91" spans="1:17" x14ac:dyDescent="0.25">
      <c r="A91" s="1" t="s">
        <v>443</v>
      </c>
      <c r="B91" s="2">
        <v>45831</v>
      </c>
      <c r="C91" s="1" t="s">
        <v>444</v>
      </c>
      <c r="D91" s="1" t="s">
        <v>445</v>
      </c>
      <c r="E91" s="1" t="s">
        <v>446</v>
      </c>
      <c r="F91" s="1" t="s">
        <v>447</v>
      </c>
      <c r="G91" s="1" t="s">
        <v>29</v>
      </c>
      <c r="H91" s="1" t="s">
        <v>62</v>
      </c>
      <c r="I91" s="1" t="s">
        <v>21</v>
      </c>
      <c r="J91">
        <v>4</v>
      </c>
      <c r="K91">
        <v>20711</v>
      </c>
      <c r="L91">
        <v>82844</v>
      </c>
      <c r="M91" s="1" t="s">
        <v>86</v>
      </c>
      <c r="N91" s="1" t="s">
        <v>31</v>
      </c>
      <c r="O91" t="str">
        <f>TEXT(SalesDataset[[#This Row],[Order_Date]],"mmm")</f>
        <v>Jun</v>
      </c>
      <c r="P91" s="1" t="str">
        <f>TEXT(SalesDataset[[#This Row],[Order_Date]],"YYYY")</f>
        <v>2025</v>
      </c>
      <c r="Q91" s="1" t="str">
        <f>_xlfn.TEXTJOIN(" ",TRUE,SalesDataset[[#This Row],[First_Name]],SalesDataset[[#This Row],[Last_Name]])</f>
        <v>Leonard Andrews</v>
      </c>
    </row>
    <row r="92" spans="1:17" x14ac:dyDescent="0.25">
      <c r="A92" s="1" t="s">
        <v>448</v>
      </c>
      <c r="B92" s="2">
        <v>45778</v>
      </c>
      <c r="C92" s="1" t="s">
        <v>449</v>
      </c>
      <c r="D92" s="1" t="s">
        <v>77</v>
      </c>
      <c r="E92" s="1" t="s">
        <v>450</v>
      </c>
      <c r="F92" s="1" t="s">
        <v>451</v>
      </c>
      <c r="G92" s="1" t="s">
        <v>19</v>
      </c>
      <c r="H92" s="1" t="s">
        <v>92</v>
      </c>
      <c r="I92" s="1" t="s">
        <v>21</v>
      </c>
      <c r="J92">
        <v>4</v>
      </c>
      <c r="K92">
        <v>13789</v>
      </c>
      <c r="L92">
        <v>55156</v>
      </c>
      <c r="M92" s="1" t="s">
        <v>22</v>
      </c>
      <c r="N92" s="1" t="s">
        <v>23</v>
      </c>
      <c r="O92" t="str">
        <f>TEXT(SalesDataset[[#This Row],[Order_Date]],"mmm")</f>
        <v>May</v>
      </c>
      <c r="P92" s="1" t="str">
        <f>TEXT(SalesDataset[[#This Row],[Order_Date]],"YYYY")</f>
        <v>2025</v>
      </c>
      <c r="Q92" s="1" t="str">
        <f>_xlfn.TEXTJOIN(" ",TRUE,SalesDataset[[#This Row],[First_Name]],SalesDataset[[#This Row],[Last_Name]])</f>
        <v>Mark Jones</v>
      </c>
    </row>
    <row r="93" spans="1:17" x14ac:dyDescent="0.25">
      <c r="A93" s="1" t="s">
        <v>452</v>
      </c>
      <c r="B93" s="2">
        <v>45785</v>
      </c>
      <c r="C93" s="1" t="s">
        <v>453</v>
      </c>
      <c r="D93" s="1" t="s">
        <v>454</v>
      </c>
      <c r="E93" s="1" t="s">
        <v>228</v>
      </c>
      <c r="F93" s="1" t="s">
        <v>455</v>
      </c>
      <c r="G93" s="1" t="s">
        <v>102</v>
      </c>
      <c r="H93" s="1" t="s">
        <v>45</v>
      </c>
      <c r="I93" s="1" t="s">
        <v>21</v>
      </c>
      <c r="J93">
        <v>2</v>
      </c>
      <c r="K93">
        <v>31026</v>
      </c>
      <c r="L93">
        <v>62052</v>
      </c>
      <c r="M93" s="1" t="s">
        <v>86</v>
      </c>
      <c r="N93" s="1" t="s">
        <v>46</v>
      </c>
      <c r="O93" t="str">
        <f>TEXT(SalesDataset[[#This Row],[Order_Date]],"mmm")</f>
        <v>May</v>
      </c>
      <c r="P93" s="1" t="str">
        <f>TEXT(SalesDataset[[#This Row],[Order_Date]],"YYYY")</f>
        <v>2025</v>
      </c>
      <c r="Q93" s="1" t="str">
        <f>_xlfn.TEXTJOIN(" ",TRUE,SalesDataset[[#This Row],[First_Name]],SalesDataset[[#This Row],[Last_Name]])</f>
        <v>Dalton Anderson</v>
      </c>
    </row>
    <row r="94" spans="1:17" x14ac:dyDescent="0.25">
      <c r="A94" s="1" t="s">
        <v>456</v>
      </c>
      <c r="B94" s="2">
        <v>46072</v>
      </c>
      <c r="C94" s="1" t="s">
        <v>457</v>
      </c>
      <c r="D94" s="1" t="s">
        <v>99</v>
      </c>
      <c r="E94" s="1" t="s">
        <v>458</v>
      </c>
      <c r="F94" s="1" t="s">
        <v>459</v>
      </c>
      <c r="G94" s="1" t="s">
        <v>44</v>
      </c>
      <c r="H94" s="1" t="s">
        <v>37</v>
      </c>
      <c r="I94" s="1" t="s">
        <v>21</v>
      </c>
      <c r="J94">
        <v>3</v>
      </c>
      <c r="K94">
        <v>10173</v>
      </c>
      <c r="L94">
        <v>30519</v>
      </c>
      <c r="M94" s="1" t="s">
        <v>74</v>
      </c>
      <c r="N94" s="1" t="s">
        <v>46</v>
      </c>
      <c r="O94" t="str">
        <f>TEXT(SalesDataset[[#This Row],[Order_Date]],"mmm")</f>
        <v>Feb</v>
      </c>
      <c r="P94" s="1" t="str">
        <f>TEXT(SalesDataset[[#This Row],[Order_Date]],"YYYY")</f>
        <v>2026</v>
      </c>
      <c r="Q94" s="1" t="str">
        <f>_xlfn.TEXTJOIN(" ",TRUE,SalesDataset[[#This Row],[First_Name]],SalesDataset[[#This Row],[Last_Name]])</f>
        <v>Erik Osborn</v>
      </c>
    </row>
    <row r="95" spans="1:17" x14ac:dyDescent="0.25">
      <c r="A95" s="1" t="s">
        <v>460</v>
      </c>
      <c r="B95" s="2">
        <v>45830</v>
      </c>
      <c r="C95" s="1" t="s">
        <v>461</v>
      </c>
      <c r="D95" s="1" t="s">
        <v>462</v>
      </c>
      <c r="E95" s="1" t="s">
        <v>446</v>
      </c>
      <c r="F95" s="1" t="s">
        <v>463</v>
      </c>
      <c r="G95" s="1" t="s">
        <v>19</v>
      </c>
      <c r="H95" s="1" t="s">
        <v>62</v>
      </c>
      <c r="I95" s="1" t="s">
        <v>21</v>
      </c>
      <c r="J95">
        <v>3</v>
      </c>
      <c r="K95">
        <v>74692</v>
      </c>
      <c r="L95">
        <v>224076</v>
      </c>
      <c r="M95" s="1" t="s">
        <v>74</v>
      </c>
      <c r="N95" s="1" t="s">
        <v>46</v>
      </c>
      <c r="O95" t="str">
        <f>TEXT(SalesDataset[[#This Row],[Order_Date]],"mmm")</f>
        <v>Jun</v>
      </c>
      <c r="P95" s="1" t="str">
        <f>TEXT(SalesDataset[[#This Row],[Order_Date]],"YYYY")</f>
        <v>2025</v>
      </c>
      <c r="Q95" s="1" t="str">
        <f>_xlfn.TEXTJOIN(" ",TRUE,SalesDataset[[#This Row],[First_Name]],SalesDataset[[#This Row],[Last_Name]])</f>
        <v>Victoria Andrews</v>
      </c>
    </row>
    <row r="96" spans="1:17" x14ac:dyDescent="0.25">
      <c r="A96" s="1" t="s">
        <v>464</v>
      </c>
      <c r="B96" s="2">
        <v>46130</v>
      </c>
      <c r="C96" s="1" t="s">
        <v>465</v>
      </c>
      <c r="D96" s="1" t="s">
        <v>120</v>
      </c>
      <c r="E96" s="1" t="s">
        <v>466</v>
      </c>
      <c r="F96" s="1" t="s">
        <v>467</v>
      </c>
      <c r="G96" s="1" t="s">
        <v>19</v>
      </c>
      <c r="H96" s="1" t="s">
        <v>45</v>
      </c>
      <c r="I96" s="1" t="s">
        <v>21</v>
      </c>
      <c r="J96">
        <v>5</v>
      </c>
      <c r="K96">
        <v>64459</v>
      </c>
      <c r="L96">
        <v>322295</v>
      </c>
      <c r="M96" s="1" t="s">
        <v>74</v>
      </c>
      <c r="N96" s="1" t="s">
        <v>46</v>
      </c>
      <c r="O96" t="str">
        <f>TEXT(SalesDataset[[#This Row],[Order_Date]],"mmm")</f>
        <v>Apr</v>
      </c>
      <c r="P96" s="1" t="str">
        <f>TEXT(SalesDataset[[#This Row],[Order_Date]],"YYYY")</f>
        <v>2026</v>
      </c>
      <c r="Q96" s="1" t="str">
        <f>_xlfn.TEXTJOIN(" ",TRUE,SalesDataset[[#This Row],[First_Name]],SalesDataset[[#This Row],[Last_Name]])</f>
        <v>Timothy Cook</v>
      </c>
    </row>
    <row r="97" spans="1:17" x14ac:dyDescent="0.25">
      <c r="A97" s="1" t="s">
        <v>468</v>
      </c>
      <c r="B97" s="2">
        <v>46107</v>
      </c>
      <c r="C97" s="1" t="s">
        <v>469</v>
      </c>
      <c r="D97" s="1" t="s">
        <v>66</v>
      </c>
      <c r="E97" s="1" t="s">
        <v>470</v>
      </c>
      <c r="F97" s="1" t="s">
        <v>471</v>
      </c>
      <c r="G97" s="1" t="s">
        <v>19</v>
      </c>
      <c r="H97" s="1" t="s">
        <v>45</v>
      </c>
      <c r="I97" s="1" t="s">
        <v>21</v>
      </c>
      <c r="J97">
        <v>2</v>
      </c>
      <c r="K97">
        <v>57504</v>
      </c>
      <c r="L97">
        <v>115008</v>
      </c>
      <c r="M97" s="1" t="s">
        <v>38</v>
      </c>
      <c r="N97" s="1" t="s">
        <v>23</v>
      </c>
      <c r="O97" t="str">
        <f>TEXT(SalesDataset[[#This Row],[Order_Date]],"mmm")</f>
        <v>Mar</v>
      </c>
      <c r="P97" s="1" t="str">
        <f>TEXT(SalesDataset[[#This Row],[Order_Date]],"YYYY")</f>
        <v>2026</v>
      </c>
      <c r="Q97" s="1" t="str">
        <f>_xlfn.TEXTJOIN(" ",TRUE,SalesDataset[[#This Row],[First_Name]],SalesDataset[[#This Row],[Last_Name]])</f>
        <v>Angela Price</v>
      </c>
    </row>
    <row r="98" spans="1:17" x14ac:dyDescent="0.25">
      <c r="A98" s="1" t="s">
        <v>472</v>
      </c>
      <c r="B98" s="2">
        <v>46079</v>
      </c>
      <c r="C98" s="1" t="s">
        <v>360</v>
      </c>
      <c r="D98" s="1" t="s">
        <v>473</v>
      </c>
      <c r="E98" s="1" t="s">
        <v>474</v>
      </c>
      <c r="F98" s="1" t="s">
        <v>475</v>
      </c>
      <c r="G98" s="1" t="s">
        <v>29</v>
      </c>
      <c r="H98" s="1" t="s">
        <v>37</v>
      </c>
      <c r="I98" s="1" t="s">
        <v>21</v>
      </c>
      <c r="J98">
        <v>2</v>
      </c>
      <c r="K98">
        <v>40745</v>
      </c>
      <c r="L98">
        <v>81490</v>
      </c>
      <c r="M98" s="1" t="s">
        <v>74</v>
      </c>
      <c r="N98" s="1" t="s">
        <v>31</v>
      </c>
      <c r="O98" t="str">
        <f>TEXT(SalesDataset[[#This Row],[Order_Date]],"mmm")</f>
        <v>Feb</v>
      </c>
      <c r="P98" s="1" t="str">
        <f>TEXT(SalesDataset[[#This Row],[Order_Date]],"YYYY")</f>
        <v>2026</v>
      </c>
      <c r="Q98" s="1" t="str">
        <f>_xlfn.TEXTJOIN(" ",TRUE,SalesDataset[[#This Row],[First_Name]],SalesDataset[[#This Row],[Last_Name]])</f>
        <v>Kyle Campbell</v>
      </c>
    </row>
    <row r="99" spans="1:17" x14ac:dyDescent="0.25">
      <c r="A99" s="1" t="s">
        <v>476</v>
      </c>
      <c r="B99" s="2">
        <v>45836</v>
      </c>
      <c r="C99" s="1" t="s">
        <v>477</v>
      </c>
      <c r="D99" s="1" t="s">
        <v>59</v>
      </c>
      <c r="E99" s="1" t="s">
        <v>478</v>
      </c>
      <c r="F99" s="1" t="s">
        <v>479</v>
      </c>
      <c r="G99" s="1" t="s">
        <v>102</v>
      </c>
      <c r="H99" s="1" t="s">
        <v>45</v>
      </c>
      <c r="I99" s="1" t="s">
        <v>21</v>
      </c>
      <c r="J99">
        <v>4</v>
      </c>
      <c r="K99">
        <v>16011</v>
      </c>
      <c r="L99">
        <v>64044</v>
      </c>
      <c r="M99" s="1" t="s">
        <v>86</v>
      </c>
      <c r="N99" s="1" t="s">
        <v>31</v>
      </c>
      <c r="O99" t="str">
        <f>TEXT(SalesDataset[[#This Row],[Order_Date]],"mmm")</f>
        <v>Jun</v>
      </c>
      <c r="P99" s="1" t="str">
        <f>TEXT(SalesDataset[[#This Row],[Order_Date]],"YYYY")</f>
        <v>2025</v>
      </c>
      <c r="Q99" s="1" t="str">
        <f>_xlfn.TEXTJOIN(" ",TRUE,SalesDataset[[#This Row],[First_Name]],SalesDataset[[#This Row],[Last_Name]])</f>
        <v>Jason Dillon</v>
      </c>
    </row>
    <row r="100" spans="1:17" x14ac:dyDescent="0.25">
      <c r="A100" s="1" t="s">
        <v>480</v>
      </c>
      <c r="B100" s="2">
        <v>45926</v>
      </c>
      <c r="C100" s="1" t="s">
        <v>481</v>
      </c>
      <c r="D100" s="1" t="s">
        <v>482</v>
      </c>
      <c r="E100" s="1" t="s">
        <v>483</v>
      </c>
      <c r="F100" s="1" t="s">
        <v>484</v>
      </c>
      <c r="G100" s="1" t="s">
        <v>44</v>
      </c>
      <c r="H100" s="1" t="s">
        <v>62</v>
      </c>
      <c r="I100" s="1" t="s">
        <v>21</v>
      </c>
      <c r="J100">
        <v>4</v>
      </c>
      <c r="K100">
        <v>36825</v>
      </c>
      <c r="L100">
        <v>147300</v>
      </c>
      <c r="M100" s="1" t="s">
        <v>74</v>
      </c>
      <c r="N100" s="1" t="s">
        <v>46</v>
      </c>
      <c r="O100" t="str">
        <f>TEXT(SalesDataset[[#This Row],[Order_Date]],"mmm")</f>
        <v>Sep</v>
      </c>
      <c r="P100" s="1" t="str">
        <f>TEXT(SalesDataset[[#This Row],[Order_Date]],"YYYY")</f>
        <v>2025</v>
      </c>
      <c r="Q100" s="1" t="str">
        <f>_xlfn.TEXTJOIN(" ",TRUE,SalesDataset[[#This Row],[First_Name]],SalesDataset[[#This Row],[Last_Name]])</f>
        <v>Justin Bryant</v>
      </c>
    </row>
    <row r="101" spans="1:17" x14ac:dyDescent="0.25">
      <c r="A101" s="1" t="s">
        <v>485</v>
      </c>
      <c r="B101" s="2">
        <v>45991</v>
      </c>
      <c r="C101" s="1" t="s">
        <v>486</v>
      </c>
      <c r="D101" s="1" t="s">
        <v>487</v>
      </c>
      <c r="E101" s="1" t="s">
        <v>488</v>
      </c>
      <c r="F101" s="1" t="s">
        <v>489</v>
      </c>
      <c r="G101" s="1" t="s">
        <v>19</v>
      </c>
      <c r="H101" s="1" t="s">
        <v>62</v>
      </c>
      <c r="I101" s="1" t="s">
        <v>21</v>
      </c>
      <c r="J101">
        <v>5</v>
      </c>
      <c r="K101">
        <v>37226</v>
      </c>
      <c r="L101">
        <v>186130</v>
      </c>
      <c r="M101" s="1" t="s">
        <v>74</v>
      </c>
      <c r="N101" s="1" t="s">
        <v>31</v>
      </c>
      <c r="O101" t="str">
        <f>TEXT(SalesDataset[[#This Row],[Order_Date]],"mmm")</f>
        <v>Nov</v>
      </c>
      <c r="P101" s="1" t="str">
        <f>TEXT(SalesDataset[[#This Row],[Order_Date]],"YYYY")</f>
        <v>2025</v>
      </c>
      <c r="Q101" s="1" t="str">
        <f>_xlfn.TEXTJOIN(" ",TRUE,SalesDataset[[#This Row],[First_Name]],SalesDataset[[#This Row],[Last_Name]])</f>
        <v>David Johnson</v>
      </c>
    </row>
    <row r="102" spans="1:17" x14ac:dyDescent="0.25">
      <c r="A102" s="1" t="s">
        <v>490</v>
      </c>
      <c r="B102" s="2">
        <v>45905</v>
      </c>
      <c r="C102" s="1" t="s">
        <v>491</v>
      </c>
      <c r="D102" s="1" t="s">
        <v>492</v>
      </c>
      <c r="E102" s="1" t="s">
        <v>493</v>
      </c>
      <c r="F102" s="1" t="s">
        <v>494</v>
      </c>
      <c r="G102" s="1" t="s">
        <v>44</v>
      </c>
      <c r="H102" s="1" t="s">
        <v>20</v>
      </c>
      <c r="I102" s="1" t="s">
        <v>21</v>
      </c>
      <c r="J102">
        <v>3</v>
      </c>
      <c r="K102">
        <v>58552</v>
      </c>
      <c r="L102">
        <v>175656</v>
      </c>
      <c r="M102" s="1" t="s">
        <v>22</v>
      </c>
      <c r="N102" s="1" t="s">
        <v>46</v>
      </c>
      <c r="O102" t="str">
        <f>TEXT(SalesDataset[[#This Row],[Order_Date]],"mmm")</f>
        <v>Sep</v>
      </c>
      <c r="P102" s="1" t="str">
        <f>TEXT(SalesDataset[[#This Row],[Order_Date]],"YYYY")</f>
        <v>2025</v>
      </c>
      <c r="Q102" s="1" t="str">
        <f>_xlfn.TEXTJOIN(" ",TRUE,SalesDataset[[#This Row],[First_Name]],SalesDataset[[#This Row],[Last_Name]])</f>
        <v>Ryan Hickman Jr.</v>
      </c>
    </row>
    <row r="103" spans="1:17" x14ac:dyDescent="0.25">
      <c r="A103" s="1" t="s">
        <v>495</v>
      </c>
      <c r="B103" s="2">
        <v>46086</v>
      </c>
      <c r="C103" s="1" t="s">
        <v>496</v>
      </c>
      <c r="D103" s="1" t="s">
        <v>497</v>
      </c>
      <c r="E103" s="1" t="s">
        <v>498</v>
      </c>
      <c r="F103" s="1" t="s">
        <v>499</v>
      </c>
      <c r="G103" s="1" t="s">
        <v>19</v>
      </c>
      <c r="H103" s="1" t="s">
        <v>45</v>
      </c>
      <c r="I103" s="1" t="s">
        <v>21</v>
      </c>
      <c r="J103">
        <v>2</v>
      </c>
      <c r="K103">
        <v>41398</v>
      </c>
      <c r="L103">
        <v>82796</v>
      </c>
      <c r="M103" s="1" t="s">
        <v>86</v>
      </c>
      <c r="N103" s="1" t="s">
        <v>23</v>
      </c>
      <c r="O103" t="str">
        <f>TEXT(SalesDataset[[#This Row],[Order_Date]],"mmm")</f>
        <v>Mar</v>
      </c>
      <c r="P103" s="1" t="str">
        <f>TEXT(SalesDataset[[#This Row],[Order_Date]],"YYYY")</f>
        <v>2026</v>
      </c>
      <c r="Q103" s="1" t="str">
        <f>_xlfn.TEXTJOIN(" ",TRUE,SalesDataset[[#This Row],[First_Name]],SalesDataset[[#This Row],[Last_Name]])</f>
        <v>Marilyn Riley</v>
      </c>
    </row>
    <row r="104" spans="1:17" x14ac:dyDescent="0.25">
      <c r="A104" s="1" t="s">
        <v>500</v>
      </c>
      <c r="B104" s="2">
        <v>46116</v>
      </c>
      <c r="C104" s="1" t="s">
        <v>501</v>
      </c>
      <c r="D104" s="1" t="s">
        <v>502</v>
      </c>
      <c r="E104" s="1" t="s">
        <v>503</v>
      </c>
      <c r="F104" s="1" t="s">
        <v>504</v>
      </c>
      <c r="G104" s="1" t="s">
        <v>29</v>
      </c>
      <c r="H104" s="1" t="s">
        <v>20</v>
      </c>
      <c r="I104" s="1" t="s">
        <v>21</v>
      </c>
      <c r="J104">
        <v>2</v>
      </c>
      <c r="K104">
        <v>78848</v>
      </c>
      <c r="L104">
        <v>157696</v>
      </c>
      <c r="M104" s="1" t="s">
        <v>22</v>
      </c>
      <c r="N104" s="1" t="s">
        <v>31</v>
      </c>
      <c r="O104" t="str">
        <f>TEXT(SalesDataset[[#This Row],[Order_Date]],"mmm")</f>
        <v>Apr</v>
      </c>
      <c r="P104" s="1" t="str">
        <f>TEXT(SalesDataset[[#This Row],[Order_Date]],"YYYY")</f>
        <v>2026</v>
      </c>
      <c r="Q104" s="1" t="str">
        <f>_xlfn.TEXTJOIN(" ",TRUE,SalesDataset[[#This Row],[First_Name]],SalesDataset[[#This Row],[Last_Name]])</f>
        <v>Bruce Payne</v>
      </c>
    </row>
    <row r="105" spans="1:17" x14ac:dyDescent="0.25">
      <c r="A105" s="1" t="s">
        <v>505</v>
      </c>
      <c r="B105" s="2">
        <v>45829</v>
      </c>
      <c r="C105" s="1" t="s">
        <v>506</v>
      </c>
      <c r="D105" s="1" t="s">
        <v>507</v>
      </c>
      <c r="E105" s="1" t="s">
        <v>508</v>
      </c>
      <c r="F105" s="1" t="s">
        <v>509</v>
      </c>
      <c r="G105" s="1" t="s">
        <v>102</v>
      </c>
      <c r="H105" s="1" t="s">
        <v>92</v>
      </c>
      <c r="I105" s="1" t="s">
        <v>21</v>
      </c>
      <c r="J105">
        <v>3</v>
      </c>
      <c r="K105">
        <v>9176</v>
      </c>
      <c r="L105">
        <v>27528</v>
      </c>
      <c r="M105" s="1" t="s">
        <v>22</v>
      </c>
      <c r="N105" s="1" t="s">
        <v>23</v>
      </c>
      <c r="O105" t="str">
        <f>TEXT(SalesDataset[[#This Row],[Order_Date]],"mmm")</f>
        <v>Jun</v>
      </c>
      <c r="P105" s="1" t="str">
        <f>TEXT(SalesDataset[[#This Row],[Order_Date]],"YYYY")</f>
        <v>2025</v>
      </c>
      <c r="Q105" s="1" t="str">
        <f>_xlfn.TEXTJOIN(" ",TRUE,SalesDataset[[#This Row],[First_Name]],SalesDataset[[#This Row],[Last_Name]])</f>
        <v>Tina Ross</v>
      </c>
    </row>
    <row r="106" spans="1:17" x14ac:dyDescent="0.25">
      <c r="A106" s="1" t="s">
        <v>510</v>
      </c>
      <c r="B106" s="2">
        <v>46101</v>
      </c>
      <c r="C106" s="1" t="s">
        <v>511</v>
      </c>
      <c r="D106" s="1" t="s">
        <v>512</v>
      </c>
      <c r="E106" s="1" t="s">
        <v>513</v>
      </c>
      <c r="F106" s="1" t="s">
        <v>514</v>
      </c>
      <c r="G106" s="1" t="s">
        <v>19</v>
      </c>
      <c r="H106" s="1" t="s">
        <v>37</v>
      </c>
      <c r="I106" s="1" t="s">
        <v>21</v>
      </c>
      <c r="J106">
        <v>3</v>
      </c>
      <c r="K106">
        <v>76345</v>
      </c>
      <c r="L106">
        <v>229035</v>
      </c>
      <c r="M106" s="1" t="s">
        <v>86</v>
      </c>
      <c r="N106" s="1" t="s">
        <v>31</v>
      </c>
      <c r="O106" t="str">
        <f>TEXT(SalesDataset[[#This Row],[Order_Date]],"mmm")</f>
        <v>Mar</v>
      </c>
      <c r="P106" s="1" t="str">
        <f>TEXT(SalesDataset[[#This Row],[Order_Date]],"YYYY")</f>
        <v>2026</v>
      </c>
      <c r="Q106" s="1" t="str">
        <f>_xlfn.TEXTJOIN(" ",TRUE,SalesDataset[[#This Row],[First_Name]],SalesDataset[[#This Row],[Last_Name]])</f>
        <v>Wendy Medina</v>
      </c>
    </row>
    <row r="107" spans="1:17" x14ac:dyDescent="0.25">
      <c r="A107" s="1" t="s">
        <v>515</v>
      </c>
      <c r="B107" s="2">
        <v>45843</v>
      </c>
      <c r="C107" s="1" t="s">
        <v>516</v>
      </c>
      <c r="D107" s="1" t="s">
        <v>317</v>
      </c>
      <c r="E107" s="1" t="s">
        <v>517</v>
      </c>
      <c r="F107" s="1" t="s">
        <v>518</v>
      </c>
      <c r="G107" s="1" t="s">
        <v>29</v>
      </c>
      <c r="H107" s="1" t="s">
        <v>92</v>
      </c>
      <c r="I107" s="1" t="s">
        <v>21</v>
      </c>
      <c r="J107">
        <v>5</v>
      </c>
      <c r="K107">
        <v>2804</v>
      </c>
      <c r="L107">
        <v>14020</v>
      </c>
      <c r="M107" s="1" t="s">
        <v>22</v>
      </c>
      <c r="N107" s="1" t="s">
        <v>46</v>
      </c>
      <c r="O107" t="str">
        <f>TEXT(SalesDataset[[#This Row],[Order_Date]],"mmm")</f>
        <v>Jul</v>
      </c>
      <c r="P107" s="1" t="str">
        <f>TEXT(SalesDataset[[#This Row],[Order_Date]],"YYYY")</f>
        <v>2025</v>
      </c>
      <c r="Q107" s="1" t="str">
        <f>_xlfn.TEXTJOIN(" ",TRUE,SalesDataset[[#This Row],[First_Name]],SalesDataset[[#This Row],[Last_Name]])</f>
        <v>Anthony Rodriguez</v>
      </c>
    </row>
    <row r="108" spans="1:17" x14ac:dyDescent="0.25">
      <c r="A108" s="1" t="s">
        <v>519</v>
      </c>
      <c r="B108" s="2">
        <v>46006</v>
      </c>
      <c r="C108" s="1" t="s">
        <v>520</v>
      </c>
      <c r="D108" s="1" t="s">
        <v>521</v>
      </c>
      <c r="E108" s="1" t="s">
        <v>522</v>
      </c>
      <c r="F108" s="1" t="s">
        <v>523</v>
      </c>
      <c r="G108" s="1" t="s">
        <v>102</v>
      </c>
      <c r="H108" s="1" t="s">
        <v>45</v>
      </c>
      <c r="I108" s="1" t="s">
        <v>21</v>
      </c>
      <c r="J108">
        <v>2</v>
      </c>
      <c r="K108">
        <v>11295</v>
      </c>
      <c r="L108">
        <v>22590</v>
      </c>
      <c r="M108" s="1" t="s">
        <v>74</v>
      </c>
      <c r="N108" s="1" t="s">
        <v>46</v>
      </c>
      <c r="O108" t="str">
        <f>TEXT(SalesDataset[[#This Row],[Order_Date]],"mmm")</f>
        <v>Dec</v>
      </c>
      <c r="P108" s="1" t="str">
        <f>TEXT(SalesDataset[[#This Row],[Order_Date]],"YYYY")</f>
        <v>2025</v>
      </c>
      <c r="Q108" s="1" t="str">
        <f>_xlfn.TEXTJOIN(" ",TRUE,SalesDataset[[#This Row],[First_Name]],SalesDataset[[#This Row],[Last_Name]])</f>
        <v>Kevin Bell</v>
      </c>
    </row>
    <row r="109" spans="1:17" x14ac:dyDescent="0.25">
      <c r="A109" s="1" t="s">
        <v>524</v>
      </c>
      <c r="B109" s="2">
        <v>46104</v>
      </c>
      <c r="C109" s="1" t="s">
        <v>525</v>
      </c>
      <c r="D109" s="1" t="s">
        <v>526</v>
      </c>
      <c r="E109" s="1" t="s">
        <v>527</v>
      </c>
      <c r="F109" s="1" t="s">
        <v>528</v>
      </c>
      <c r="G109" s="1" t="s">
        <v>29</v>
      </c>
      <c r="H109" s="1" t="s">
        <v>20</v>
      </c>
      <c r="I109" s="1" t="s">
        <v>21</v>
      </c>
      <c r="J109">
        <v>1</v>
      </c>
      <c r="K109">
        <v>61543</v>
      </c>
      <c r="L109">
        <v>61543</v>
      </c>
      <c r="M109" s="1" t="s">
        <v>38</v>
      </c>
      <c r="N109" s="1" t="s">
        <v>46</v>
      </c>
      <c r="O109" t="str">
        <f>TEXT(SalesDataset[[#This Row],[Order_Date]],"mmm")</f>
        <v>Mar</v>
      </c>
      <c r="P109" s="1" t="str">
        <f>TEXT(SalesDataset[[#This Row],[Order_Date]],"YYYY")</f>
        <v>2026</v>
      </c>
      <c r="Q109" s="1" t="str">
        <f>_xlfn.TEXTJOIN(" ",TRUE,SalesDataset[[#This Row],[First_Name]],SalesDataset[[#This Row],[Last_Name]])</f>
        <v>Cheryl Curry</v>
      </c>
    </row>
    <row r="110" spans="1:17" x14ac:dyDescent="0.25">
      <c r="A110" s="1" t="s">
        <v>529</v>
      </c>
      <c r="B110" s="2">
        <v>45906</v>
      </c>
      <c r="C110" s="1" t="s">
        <v>530</v>
      </c>
      <c r="D110" s="1" t="s">
        <v>531</v>
      </c>
      <c r="E110" s="1" t="s">
        <v>532</v>
      </c>
      <c r="F110" s="1" t="s">
        <v>533</v>
      </c>
      <c r="G110" s="1" t="s">
        <v>19</v>
      </c>
      <c r="H110" s="1" t="s">
        <v>80</v>
      </c>
      <c r="I110" s="1" t="s">
        <v>21</v>
      </c>
      <c r="J110">
        <v>5</v>
      </c>
      <c r="K110">
        <v>38893</v>
      </c>
      <c r="L110">
        <v>194465</v>
      </c>
      <c r="M110" s="1" t="s">
        <v>63</v>
      </c>
      <c r="N110" s="1" t="s">
        <v>46</v>
      </c>
      <c r="O110" t="str">
        <f>TEXT(SalesDataset[[#This Row],[Order_Date]],"mmm")</f>
        <v>Sep</v>
      </c>
      <c r="P110" s="1" t="str">
        <f>TEXT(SalesDataset[[#This Row],[Order_Date]],"YYYY")</f>
        <v>2025</v>
      </c>
      <c r="Q110" s="1" t="str">
        <f>_xlfn.TEXTJOIN(" ",TRUE,SalesDataset[[#This Row],[First_Name]],SalesDataset[[#This Row],[Last_Name]])</f>
        <v>Chelsea Vega</v>
      </c>
    </row>
    <row r="111" spans="1:17" x14ac:dyDescent="0.25">
      <c r="A111" s="1" t="s">
        <v>534</v>
      </c>
      <c r="B111" s="2">
        <v>45869</v>
      </c>
      <c r="C111" s="1" t="s">
        <v>535</v>
      </c>
      <c r="D111" s="1" t="s">
        <v>120</v>
      </c>
      <c r="E111" s="1" t="s">
        <v>111</v>
      </c>
      <c r="F111" s="1" t="s">
        <v>536</v>
      </c>
      <c r="G111" s="1" t="s">
        <v>102</v>
      </c>
      <c r="H111" s="1" t="s">
        <v>80</v>
      </c>
      <c r="I111" s="1" t="s">
        <v>21</v>
      </c>
      <c r="J111">
        <v>4</v>
      </c>
      <c r="K111">
        <v>6543</v>
      </c>
      <c r="L111">
        <v>26172</v>
      </c>
      <c r="M111" s="1" t="s">
        <v>74</v>
      </c>
      <c r="N111" s="1" t="s">
        <v>46</v>
      </c>
      <c r="O111" t="str">
        <f>TEXT(SalesDataset[[#This Row],[Order_Date]],"mmm")</f>
        <v>Jul</v>
      </c>
      <c r="P111" s="1" t="str">
        <f>TEXT(SalesDataset[[#This Row],[Order_Date]],"YYYY")</f>
        <v>2025</v>
      </c>
      <c r="Q111" s="1" t="str">
        <f>_xlfn.TEXTJOIN(" ",TRUE,SalesDataset[[#This Row],[First_Name]],SalesDataset[[#This Row],[Last_Name]])</f>
        <v>Timothy Chavez</v>
      </c>
    </row>
    <row r="112" spans="1:17" x14ac:dyDescent="0.25">
      <c r="A112" s="1" t="s">
        <v>537</v>
      </c>
      <c r="B112" s="2">
        <v>46071</v>
      </c>
      <c r="C112" s="1" t="s">
        <v>538</v>
      </c>
      <c r="D112" s="1" t="s">
        <v>539</v>
      </c>
      <c r="E112" s="1" t="s">
        <v>540</v>
      </c>
      <c r="F112" s="1" t="s">
        <v>541</v>
      </c>
      <c r="G112" s="1" t="s">
        <v>29</v>
      </c>
      <c r="H112" s="1" t="s">
        <v>37</v>
      </c>
      <c r="I112" s="1" t="s">
        <v>21</v>
      </c>
      <c r="J112">
        <v>1</v>
      </c>
      <c r="K112">
        <v>54528</v>
      </c>
      <c r="L112">
        <v>54528</v>
      </c>
      <c r="M112" s="1" t="s">
        <v>86</v>
      </c>
      <c r="N112" s="1" t="s">
        <v>46</v>
      </c>
      <c r="O112" t="str">
        <f>TEXT(SalesDataset[[#This Row],[Order_Date]],"mmm")</f>
        <v>Feb</v>
      </c>
      <c r="P112" s="1" t="str">
        <f>TEXT(SalesDataset[[#This Row],[Order_Date]],"YYYY")</f>
        <v>2026</v>
      </c>
      <c r="Q112" s="1" t="str">
        <f>_xlfn.TEXTJOIN(" ",TRUE,SalesDataset[[#This Row],[First_Name]],SalesDataset[[#This Row],[Last_Name]])</f>
        <v>Terry Williams</v>
      </c>
    </row>
    <row r="113" spans="1:17" x14ac:dyDescent="0.25">
      <c r="A113" s="1" t="s">
        <v>542</v>
      </c>
      <c r="B113" s="2">
        <v>46095</v>
      </c>
      <c r="C113" s="1" t="s">
        <v>543</v>
      </c>
      <c r="D113" s="1" t="s">
        <v>366</v>
      </c>
      <c r="E113" s="1" t="s">
        <v>544</v>
      </c>
      <c r="F113" s="1" t="s">
        <v>545</v>
      </c>
      <c r="G113" s="1" t="s">
        <v>19</v>
      </c>
      <c r="H113" s="1" t="s">
        <v>62</v>
      </c>
      <c r="I113" s="1" t="s">
        <v>21</v>
      </c>
      <c r="J113">
        <v>1</v>
      </c>
      <c r="K113">
        <v>43523</v>
      </c>
      <c r="L113">
        <v>43523</v>
      </c>
      <c r="M113" s="1" t="s">
        <v>22</v>
      </c>
      <c r="N113" s="1" t="s">
        <v>31</v>
      </c>
      <c r="O113" t="str">
        <f>TEXT(SalesDataset[[#This Row],[Order_Date]],"mmm")</f>
        <v>Mar</v>
      </c>
      <c r="P113" s="1" t="str">
        <f>TEXT(SalesDataset[[#This Row],[Order_Date]],"YYYY")</f>
        <v>2026</v>
      </c>
      <c r="Q113" s="1" t="str">
        <f>_xlfn.TEXTJOIN(" ",TRUE,SalesDataset[[#This Row],[First_Name]],SalesDataset[[#This Row],[Last_Name]])</f>
        <v>Joseph White</v>
      </c>
    </row>
    <row r="114" spans="1:17" x14ac:dyDescent="0.25">
      <c r="A114" s="1" t="s">
        <v>546</v>
      </c>
      <c r="B114" s="2">
        <v>45977</v>
      </c>
      <c r="C114" s="1" t="s">
        <v>547</v>
      </c>
      <c r="D114" s="1" t="s">
        <v>548</v>
      </c>
      <c r="E114" s="1" t="s">
        <v>549</v>
      </c>
      <c r="F114" s="1" t="s">
        <v>550</v>
      </c>
      <c r="G114" s="1" t="s">
        <v>102</v>
      </c>
      <c r="H114" s="1" t="s">
        <v>92</v>
      </c>
      <c r="I114" s="1" t="s">
        <v>21</v>
      </c>
      <c r="J114">
        <v>3</v>
      </c>
      <c r="K114">
        <v>38133</v>
      </c>
      <c r="L114">
        <v>114399</v>
      </c>
      <c r="M114" s="1" t="s">
        <v>38</v>
      </c>
      <c r="N114" s="1" t="s">
        <v>23</v>
      </c>
      <c r="O114" t="str">
        <f>TEXT(SalesDataset[[#This Row],[Order_Date]],"mmm")</f>
        <v>Nov</v>
      </c>
      <c r="P114" s="1" t="str">
        <f>TEXT(SalesDataset[[#This Row],[Order_Date]],"YYYY")</f>
        <v>2025</v>
      </c>
      <c r="Q114" s="1" t="str">
        <f>_xlfn.TEXTJOIN(" ",TRUE,SalesDataset[[#This Row],[First_Name]],SalesDataset[[#This Row],[Last_Name]])</f>
        <v>James Wilson</v>
      </c>
    </row>
    <row r="115" spans="1:17" x14ac:dyDescent="0.25">
      <c r="A115" s="1" t="s">
        <v>551</v>
      </c>
      <c r="B115" s="2">
        <v>45942</v>
      </c>
      <c r="C115" s="1" t="s">
        <v>382</v>
      </c>
      <c r="D115" s="1" t="s">
        <v>552</v>
      </c>
      <c r="E115" s="1" t="s">
        <v>553</v>
      </c>
      <c r="F115" s="1" t="s">
        <v>554</v>
      </c>
      <c r="G115" s="1" t="s">
        <v>44</v>
      </c>
      <c r="H115" s="1" t="s">
        <v>62</v>
      </c>
      <c r="I115" s="1" t="s">
        <v>21</v>
      </c>
      <c r="J115">
        <v>5</v>
      </c>
      <c r="K115">
        <v>72871</v>
      </c>
      <c r="L115">
        <v>364355</v>
      </c>
      <c r="M115" s="1" t="s">
        <v>86</v>
      </c>
      <c r="N115" s="1" t="s">
        <v>23</v>
      </c>
      <c r="O115" t="str">
        <f>TEXT(SalesDataset[[#This Row],[Order_Date]],"mmm")</f>
        <v>Oct</v>
      </c>
      <c r="P115" s="1" t="str">
        <f>TEXT(SalesDataset[[#This Row],[Order_Date]],"YYYY")</f>
        <v>2025</v>
      </c>
      <c r="Q115" s="1" t="str">
        <f>_xlfn.TEXTJOIN(" ",TRUE,SalesDataset[[#This Row],[First_Name]],SalesDataset[[#This Row],[Last_Name]])</f>
        <v>Alexandra Lam</v>
      </c>
    </row>
    <row r="116" spans="1:17" x14ac:dyDescent="0.25">
      <c r="A116" s="1" t="s">
        <v>555</v>
      </c>
      <c r="B116" s="2">
        <v>46067</v>
      </c>
      <c r="C116" s="1" t="s">
        <v>556</v>
      </c>
      <c r="D116" s="1" t="s">
        <v>557</v>
      </c>
      <c r="E116" s="1" t="s">
        <v>361</v>
      </c>
      <c r="F116" s="1" t="s">
        <v>558</v>
      </c>
      <c r="G116" s="1" t="s">
        <v>44</v>
      </c>
      <c r="H116" s="1" t="s">
        <v>80</v>
      </c>
      <c r="I116" s="1" t="s">
        <v>21</v>
      </c>
      <c r="J116">
        <v>1</v>
      </c>
      <c r="K116">
        <v>77788</v>
      </c>
      <c r="L116">
        <v>77788</v>
      </c>
      <c r="M116" s="1" t="s">
        <v>38</v>
      </c>
      <c r="N116" s="1" t="s">
        <v>23</v>
      </c>
      <c r="O116" t="str">
        <f>TEXT(SalesDataset[[#This Row],[Order_Date]],"mmm")</f>
        <v>Feb</v>
      </c>
      <c r="P116" s="1" t="str">
        <f>TEXT(SalesDataset[[#This Row],[Order_Date]],"YYYY")</f>
        <v>2026</v>
      </c>
      <c r="Q116" s="1" t="str">
        <f>_xlfn.TEXTJOIN(" ",TRUE,SalesDataset[[#This Row],[First_Name]],SalesDataset[[#This Row],[Last_Name]])</f>
        <v>Mrs. Brianna Richard</v>
      </c>
    </row>
    <row r="117" spans="1:17" x14ac:dyDescent="0.25">
      <c r="A117" s="1" t="s">
        <v>559</v>
      </c>
      <c r="B117" s="2">
        <v>45808</v>
      </c>
      <c r="C117" s="1" t="s">
        <v>560</v>
      </c>
      <c r="D117" s="1" t="s">
        <v>561</v>
      </c>
      <c r="E117" s="1" t="s">
        <v>562</v>
      </c>
      <c r="F117" s="1" t="s">
        <v>563</v>
      </c>
      <c r="G117" s="1" t="s">
        <v>29</v>
      </c>
      <c r="H117" s="1" t="s">
        <v>80</v>
      </c>
      <c r="I117" s="1" t="s">
        <v>21</v>
      </c>
      <c r="J117">
        <v>4</v>
      </c>
      <c r="K117">
        <v>3973</v>
      </c>
      <c r="L117">
        <v>15892</v>
      </c>
      <c r="M117" s="1" t="s">
        <v>63</v>
      </c>
      <c r="N117" s="1" t="s">
        <v>23</v>
      </c>
      <c r="O117" t="str">
        <f>TEXT(SalesDataset[[#This Row],[Order_Date]],"mmm")</f>
        <v>May</v>
      </c>
      <c r="P117" s="1" t="str">
        <f>TEXT(SalesDataset[[#This Row],[Order_Date]],"YYYY")</f>
        <v>2025</v>
      </c>
      <c r="Q117" s="1" t="str">
        <f>_xlfn.TEXTJOIN(" ",TRUE,SalesDataset[[#This Row],[First_Name]],SalesDataset[[#This Row],[Last_Name]])</f>
        <v>Mary Sweeney</v>
      </c>
    </row>
    <row r="118" spans="1:17" x14ac:dyDescent="0.25">
      <c r="A118" s="1" t="s">
        <v>564</v>
      </c>
      <c r="B118" s="2">
        <v>45920</v>
      </c>
      <c r="C118" s="1" t="s">
        <v>565</v>
      </c>
      <c r="D118" s="1" t="s">
        <v>378</v>
      </c>
      <c r="E118" s="1" t="s">
        <v>566</v>
      </c>
      <c r="F118" s="1" t="s">
        <v>567</v>
      </c>
      <c r="G118" s="1" t="s">
        <v>44</v>
      </c>
      <c r="H118" s="1" t="s">
        <v>37</v>
      </c>
      <c r="I118" s="1" t="s">
        <v>21</v>
      </c>
      <c r="J118">
        <v>3</v>
      </c>
      <c r="K118">
        <v>52958</v>
      </c>
      <c r="L118">
        <v>158874</v>
      </c>
      <c r="M118" s="1" t="s">
        <v>74</v>
      </c>
      <c r="N118" s="1" t="s">
        <v>31</v>
      </c>
      <c r="O118" t="str">
        <f>TEXT(SalesDataset[[#This Row],[Order_Date]],"mmm")</f>
        <v>Sep</v>
      </c>
      <c r="P118" s="1" t="str">
        <f>TEXT(SalesDataset[[#This Row],[Order_Date]],"YYYY")</f>
        <v>2025</v>
      </c>
      <c r="Q118" s="1" t="str">
        <f>_xlfn.TEXTJOIN(" ",TRUE,SalesDataset[[#This Row],[First_Name]],SalesDataset[[#This Row],[Last_Name]])</f>
        <v>Brian Allen</v>
      </c>
    </row>
    <row r="119" spans="1:17" x14ac:dyDescent="0.25">
      <c r="A119" s="1" t="s">
        <v>568</v>
      </c>
      <c r="B119" s="2">
        <v>46116</v>
      </c>
      <c r="C119" s="1" t="s">
        <v>569</v>
      </c>
      <c r="D119" s="1" t="s">
        <v>305</v>
      </c>
      <c r="E119" s="1" t="s">
        <v>570</v>
      </c>
      <c r="F119" s="1" t="s">
        <v>571</v>
      </c>
      <c r="G119" s="1" t="s">
        <v>19</v>
      </c>
      <c r="H119" s="1" t="s">
        <v>37</v>
      </c>
      <c r="I119" s="1" t="s">
        <v>21</v>
      </c>
      <c r="J119">
        <v>1</v>
      </c>
      <c r="K119">
        <v>24634</v>
      </c>
      <c r="L119">
        <v>24634</v>
      </c>
      <c r="M119" s="1" t="s">
        <v>38</v>
      </c>
      <c r="N119" s="1" t="s">
        <v>31</v>
      </c>
      <c r="O119" t="str">
        <f>TEXT(SalesDataset[[#This Row],[Order_Date]],"mmm")</f>
        <v>Apr</v>
      </c>
      <c r="P119" s="1" t="str">
        <f>TEXT(SalesDataset[[#This Row],[Order_Date]],"YYYY")</f>
        <v>2026</v>
      </c>
      <c r="Q119" s="1" t="str">
        <f>_xlfn.TEXTJOIN(" ",TRUE,SalesDataset[[#This Row],[First_Name]],SalesDataset[[#This Row],[Last_Name]])</f>
        <v>Christopher Bowman</v>
      </c>
    </row>
    <row r="120" spans="1:17" x14ac:dyDescent="0.25">
      <c r="A120" s="1" t="s">
        <v>572</v>
      </c>
      <c r="B120" s="2">
        <v>46093</v>
      </c>
      <c r="C120" s="1" t="s">
        <v>94</v>
      </c>
      <c r="D120" s="1" t="s">
        <v>573</v>
      </c>
      <c r="E120" s="1" t="s">
        <v>574</v>
      </c>
      <c r="F120" s="1" t="s">
        <v>575</v>
      </c>
      <c r="G120" s="1" t="s">
        <v>102</v>
      </c>
      <c r="H120" s="1" t="s">
        <v>45</v>
      </c>
      <c r="I120" s="1" t="s">
        <v>21</v>
      </c>
      <c r="J120">
        <v>4</v>
      </c>
      <c r="K120">
        <v>42559</v>
      </c>
      <c r="L120">
        <v>170236</v>
      </c>
      <c r="M120" s="1" t="s">
        <v>22</v>
      </c>
      <c r="N120" s="1" t="s">
        <v>46</v>
      </c>
      <c r="O120" t="str">
        <f>TEXT(SalesDataset[[#This Row],[Order_Date]],"mmm")</f>
        <v>Mar</v>
      </c>
      <c r="P120" s="1" t="str">
        <f>TEXT(SalesDataset[[#This Row],[Order_Date]],"YYYY")</f>
        <v>2026</v>
      </c>
      <c r="Q120" s="1" t="str">
        <f>_xlfn.TEXTJOIN(" ",TRUE,SalesDataset[[#This Row],[First_Name]],SalesDataset[[#This Row],[Last_Name]])</f>
        <v>Corey Sanders</v>
      </c>
    </row>
    <row r="121" spans="1:17" x14ac:dyDescent="0.25">
      <c r="A121" s="1" t="s">
        <v>576</v>
      </c>
      <c r="B121" s="2">
        <v>46090</v>
      </c>
      <c r="C121" s="1" t="s">
        <v>577</v>
      </c>
      <c r="D121" s="1" t="s">
        <v>273</v>
      </c>
      <c r="E121" s="1" t="s">
        <v>578</v>
      </c>
      <c r="F121" s="1" t="s">
        <v>579</v>
      </c>
      <c r="G121" s="1" t="s">
        <v>102</v>
      </c>
      <c r="H121" s="1" t="s">
        <v>62</v>
      </c>
      <c r="I121" s="1" t="s">
        <v>21</v>
      </c>
      <c r="J121">
        <v>4</v>
      </c>
      <c r="K121">
        <v>42045</v>
      </c>
      <c r="L121">
        <v>168180</v>
      </c>
      <c r="M121" s="1" t="s">
        <v>74</v>
      </c>
      <c r="N121" s="1" t="s">
        <v>23</v>
      </c>
      <c r="O121" t="str">
        <f>TEXT(SalesDataset[[#This Row],[Order_Date]],"mmm")</f>
        <v>Mar</v>
      </c>
      <c r="P121" s="1" t="str">
        <f>TEXT(SalesDataset[[#This Row],[Order_Date]],"YYYY")</f>
        <v>2026</v>
      </c>
      <c r="Q121" s="1" t="str">
        <f>_xlfn.TEXTJOIN(" ",TRUE,SalesDataset[[#This Row],[First_Name]],SalesDataset[[#This Row],[Last_Name]])</f>
        <v>Robert Lyons</v>
      </c>
    </row>
    <row r="122" spans="1:17" x14ac:dyDescent="0.25">
      <c r="A122" s="1" t="s">
        <v>580</v>
      </c>
      <c r="B122" s="2">
        <v>45959</v>
      </c>
      <c r="C122" s="1" t="s">
        <v>581</v>
      </c>
      <c r="D122" s="1" t="s">
        <v>582</v>
      </c>
      <c r="E122" s="1" t="s">
        <v>583</v>
      </c>
      <c r="F122" s="1" t="s">
        <v>584</v>
      </c>
      <c r="G122" s="1" t="s">
        <v>29</v>
      </c>
      <c r="H122" s="1" t="s">
        <v>37</v>
      </c>
      <c r="I122" s="1" t="s">
        <v>21</v>
      </c>
      <c r="J122">
        <v>4</v>
      </c>
      <c r="K122">
        <v>75524</v>
      </c>
      <c r="L122">
        <v>302096</v>
      </c>
      <c r="M122" s="1" t="s">
        <v>38</v>
      </c>
      <c r="N122" s="1" t="s">
        <v>23</v>
      </c>
      <c r="O122" t="str">
        <f>TEXT(SalesDataset[[#This Row],[Order_Date]],"mmm")</f>
        <v>Oct</v>
      </c>
      <c r="P122" s="1" t="str">
        <f>TEXT(SalesDataset[[#This Row],[Order_Date]],"YYYY")</f>
        <v>2025</v>
      </c>
      <c r="Q122" s="1" t="str">
        <f>_xlfn.TEXTJOIN(" ",TRUE,SalesDataset[[#This Row],[First_Name]],SalesDataset[[#This Row],[Last_Name]])</f>
        <v>Sarah Vance</v>
      </c>
    </row>
    <row r="123" spans="1:17" x14ac:dyDescent="0.25">
      <c r="A123" s="1" t="s">
        <v>585</v>
      </c>
      <c r="B123" s="2">
        <v>46052</v>
      </c>
      <c r="C123" s="1" t="s">
        <v>586</v>
      </c>
      <c r="D123" s="1" t="s">
        <v>587</v>
      </c>
      <c r="E123" s="1" t="s">
        <v>588</v>
      </c>
      <c r="F123" s="1" t="s">
        <v>589</v>
      </c>
      <c r="G123" s="1" t="s">
        <v>29</v>
      </c>
      <c r="H123" s="1" t="s">
        <v>30</v>
      </c>
      <c r="I123" s="1" t="s">
        <v>21</v>
      </c>
      <c r="J123">
        <v>5</v>
      </c>
      <c r="K123">
        <v>65826</v>
      </c>
      <c r="L123">
        <v>329130</v>
      </c>
      <c r="M123" s="1" t="s">
        <v>22</v>
      </c>
      <c r="N123" s="1" t="s">
        <v>46</v>
      </c>
      <c r="O123" t="str">
        <f>TEXT(SalesDataset[[#This Row],[Order_Date]],"mmm")</f>
        <v>Jan</v>
      </c>
      <c r="P123" s="1" t="str">
        <f>TEXT(SalesDataset[[#This Row],[Order_Date]],"YYYY")</f>
        <v>2026</v>
      </c>
      <c r="Q123" s="1" t="str">
        <f>_xlfn.TEXTJOIN(" ",TRUE,SalesDataset[[#This Row],[First_Name]],SalesDataset[[#This Row],[Last_Name]])</f>
        <v>Mrs. Amanda Hubbard</v>
      </c>
    </row>
    <row r="124" spans="1:17" x14ac:dyDescent="0.25">
      <c r="A124" s="1" t="s">
        <v>590</v>
      </c>
      <c r="B124" s="2">
        <v>45797</v>
      </c>
      <c r="C124" s="1" t="s">
        <v>591</v>
      </c>
      <c r="D124" s="1" t="s">
        <v>110</v>
      </c>
      <c r="E124" s="1" t="s">
        <v>592</v>
      </c>
      <c r="F124" s="1" t="s">
        <v>593</v>
      </c>
      <c r="G124" s="1" t="s">
        <v>29</v>
      </c>
      <c r="H124" s="1" t="s">
        <v>92</v>
      </c>
      <c r="I124" s="1" t="s">
        <v>21</v>
      </c>
      <c r="J124">
        <v>3</v>
      </c>
      <c r="K124">
        <v>55760</v>
      </c>
      <c r="L124">
        <v>167280</v>
      </c>
      <c r="M124" s="1" t="s">
        <v>38</v>
      </c>
      <c r="N124" s="1" t="s">
        <v>46</v>
      </c>
      <c r="O124" t="str">
        <f>TEXT(SalesDataset[[#This Row],[Order_Date]],"mmm")</f>
        <v>May</v>
      </c>
      <c r="P124" s="1" t="str">
        <f>TEXT(SalesDataset[[#This Row],[Order_Date]],"YYYY")</f>
        <v>2025</v>
      </c>
      <c r="Q124" s="1" t="str">
        <f>_xlfn.TEXTJOIN(" ",TRUE,SalesDataset[[#This Row],[First_Name]],SalesDataset[[#This Row],[Last_Name]])</f>
        <v>Ronald Torres</v>
      </c>
    </row>
    <row r="125" spans="1:17" x14ac:dyDescent="0.25">
      <c r="A125" s="1" t="s">
        <v>594</v>
      </c>
      <c r="B125" s="2">
        <v>45913</v>
      </c>
      <c r="C125" s="1" t="s">
        <v>595</v>
      </c>
      <c r="D125" s="1" t="s">
        <v>596</v>
      </c>
      <c r="E125" s="1" t="s">
        <v>597</v>
      </c>
      <c r="F125" s="1" t="s">
        <v>598</v>
      </c>
      <c r="G125" s="1" t="s">
        <v>29</v>
      </c>
      <c r="H125" s="1" t="s">
        <v>80</v>
      </c>
      <c r="I125" s="1" t="s">
        <v>21</v>
      </c>
      <c r="J125">
        <v>2</v>
      </c>
      <c r="K125">
        <v>19034</v>
      </c>
      <c r="L125">
        <v>38068</v>
      </c>
      <c r="M125" s="1" t="s">
        <v>74</v>
      </c>
      <c r="N125" s="1" t="s">
        <v>31</v>
      </c>
      <c r="O125" t="str">
        <f>TEXT(SalesDataset[[#This Row],[Order_Date]],"mmm")</f>
        <v>Sep</v>
      </c>
      <c r="P125" s="1" t="str">
        <f>TEXT(SalesDataset[[#This Row],[Order_Date]],"YYYY")</f>
        <v>2025</v>
      </c>
      <c r="Q125" s="1" t="str">
        <f>_xlfn.TEXTJOIN(" ",TRUE,SalesDataset[[#This Row],[First_Name]],SalesDataset[[#This Row],[Last_Name]])</f>
        <v>Pam Cooper</v>
      </c>
    </row>
    <row r="126" spans="1:17" x14ac:dyDescent="0.25">
      <c r="A126" s="1" t="s">
        <v>599</v>
      </c>
      <c r="B126" s="2">
        <v>46087</v>
      </c>
      <c r="C126" s="1" t="s">
        <v>569</v>
      </c>
      <c r="D126" s="1" t="s">
        <v>327</v>
      </c>
      <c r="E126" s="1" t="s">
        <v>600</v>
      </c>
      <c r="F126" s="1" t="s">
        <v>601</v>
      </c>
      <c r="G126" s="1" t="s">
        <v>19</v>
      </c>
      <c r="H126" s="1" t="s">
        <v>20</v>
      </c>
      <c r="I126" s="1" t="s">
        <v>21</v>
      </c>
      <c r="J126">
        <v>3</v>
      </c>
      <c r="K126">
        <v>62907</v>
      </c>
      <c r="L126">
        <v>188721</v>
      </c>
      <c r="M126" s="1" t="s">
        <v>74</v>
      </c>
      <c r="N126" s="1" t="s">
        <v>23</v>
      </c>
      <c r="O126" t="str">
        <f>TEXT(SalesDataset[[#This Row],[Order_Date]],"mmm")</f>
        <v>Mar</v>
      </c>
      <c r="P126" s="1" t="str">
        <f>TEXT(SalesDataset[[#This Row],[Order_Date]],"YYYY")</f>
        <v>2026</v>
      </c>
      <c r="Q126" s="1" t="str">
        <f>_xlfn.TEXTJOIN(" ",TRUE,SalesDataset[[#This Row],[First_Name]],SalesDataset[[#This Row],[Last_Name]])</f>
        <v>Jacob Romero</v>
      </c>
    </row>
    <row r="127" spans="1:17" x14ac:dyDescent="0.25">
      <c r="A127" s="1" t="s">
        <v>602</v>
      </c>
      <c r="B127" s="2">
        <v>45827</v>
      </c>
      <c r="C127" s="1" t="s">
        <v>603</v>
      </c>
      <c r="D127" s="1" t="s">
        <v>361</v>
      </c>
      <c r="E127" s="1" t="s">
        <v>95</v>
      </c>
      <c r="F127" s="1" t="s">
        <v>604</v>
      </c>
      <c r="G127" s="1" t="s">
        <v>44</v>
      </c>
      <c r="H127" s="1" t="s">
        <v>80</v>
      </c>
      <c r="I127" s="1" t="s">
        <v>21</v>
      </c>
      <c r="J127">
        <v>3</v>
      </c>
      <c r="K127">
        <v>11210</v>
      </c>
      <c r="L127">
        <v>33630</v>
      </c>
      <c r="M127" s="1" t="s">
        <v>22</v>
      </c>
      <c r="N127" s="1" t="s">
        <v>23</v>
      </c>
      <c r="O127" t="str">
        <f>TEXT(SalesDataset[[#This Row],[Order_Date]],"mmm")</f>
        <v>Jun</v>
      </c>
      <c r="P127" s="1" t="str">
        <f>TEXT(SalesDataset[[#This Row],[Order_Date]],"YYYY")</f>
        <v>2025</v>
      </c>
      <c r="Q127" s="1" t="str">
        <f>_xlfn.TEXTJOIN(" ",TRUE,SalesDataset[[#This Row],[First_Name]],SalesDataset[[#This Row],[Last_Name]])</f>
        <v>Richard Murray</v>
      </c>
    </row>
    <row r="128" spans="1:17" x14ac:dyDescent="0.25">
      <c r="A128" s="1" t="s">
        <v>605</v>
      </c>
      <c r="B128" s="2">
        <v>46110</v>
      </c>
      <c r="C128" s="1" t="s">
        <v>109</v>
      </c>
      <c r="D128" s="1" t="s">
        <v>606</v>
      </c>
      <c r="E128" s="1" t="s">
        <v>607</v>
      </c>
      <c r="F128" s="1" t="s">
        <v>608</v>
      </c>
      <c r="G128" s="1" t="s">
        <v>29</v>
      </c>
      <c r="H128" s="1" t="s">
        <v>92</v>
      </c>
      <c r="I128" s="1" t="s">
        <v>21</v>
      </c>
      <c r="J128">
        <v>2</v>
      </c>
      <c r="K128">
        <v>66061</v>
      </c>
      <c r="L128">
        <v>132122</v>
      </c>
      <c r="M128" s="1" t="s">
        <v>22</v>
      </c>
      <c r="N128" s="1" t="s">
        <v>46</v>
      </c>
      <c r="O128" t="str">
        <f>TEXT(SalesDataset[[#This Row],[Order_Date]],"mmm")</f>
        <v>Mar</v>
      </c>
      <c r="P128" s="1" t="str">
        <f>TEXT(SalesDataset[[#This Row],[Order_Date]],"YYYY")</f>
        <v>2026</v>
      </c>
      <c r="Q128" s="1" t="str">
        <f>_xlfn.TEXTJOIN(" ",TRUE,SalesDataset[[#This Row],[First_Name]],SalesDataset[[#This Row],[Last_Name]])</f>
        <v>Joshua Neal</v>
      </c>
    </row>
    <row r="129" spans="1:17" x14ac:dyDescent="0.25">
      <c r="A129" s="1" t="s">
        <v>609</v>
      </c>
      <c r="B129" s="2">
        <v>45853</v>
      </c>
      <c r="C129" s="1" t="s">
        <v>610</v>
      </c>
      <c r="D129" s="1" t="s">
        <v>611</v>
      </c>
      <c r="E129" s="1" t="s">
        <v>612</v>
      </c>
      <c r="F129" s="1" t="s">
        <v>613</v>
      </c>
      <c r="G129" s="1" t="s">
        <v>29</v>
      </c>
      <c r="H129" s="1" t="s">
        <v>30</v>
      </c>
      <c r="I129" s="1" t="s">
        <v>21</v>
      </c>
      <c r="J129">
        <v>1</v>
      </c>
      <c r="K129">
        <v>44064</v>
      </c>
      <c r="L129">
        <v>44064</v>
      </c>
      <c r="M129" s="1" t="s">
        <v>86</v>
      </c>
      <c r="N129" s="1" t="s">
        <v>23</v>
      </c>
      <c r="O129" t="str">
        <f>TEXT(SalesDataset[[#This Row],[Order_Date]],"mmm")</f>
        <v>Jul</v>
      </c>
      <c r="P129" s="1" t="str">
        <f>TEXT(SalesDataset[[#This Row],[Order_Date]],"YYYY")</f>
        <v>2025</v>
      </c>
      <c r="Q129" s="1" t="str">
        <f>_xlfn.TEXTJOIN(" ",TRUE,SalesDataset[[#This Row],[First_Name]],SalesDataset[[#This Row],[Last_Name]])</f>
        <v>Matthew Adkins</v>
      </c>
    </row>
    <row r="130" spans="1:17" x14ac:dyDescent="0.25">
      <c r="A130" s="1" t="s">
        <v>614</v>
      </c>
      <c r="B130" s="2">
        <v>46141</v>
      </c>
      <c r="C130" s="1" t="s">
        <v>615</v>
      </c>
      <c r="D130" s="1" t="s">
        <v>227</v>
      </c>
      <c r="E130" s="1" t="s">
        <v>616</v>
      </c>
      <c r="F130" s="1" t="s">
        <v>617</v>
      </c>
      <c r="G130" s="1" t="s">
        <v>29</v>
      </c>
      <c r="H130" s="1" t="s">
        <v>92</v>
      </c>
      <c r="I130" s="1" t="s">
        <v>21</v>
      </c>
      <c r="J130">
        <v>3</v>
      </c>
      <c r="K130">
        <v>42702</v>
      </c>
      <c r="L130">
        <v>128106</v>
      </c>
      <c r="M130" s="1" t="s">
        <v>38</v>
      </c>
      <c r="N130" s="1" t="s">
        <v>46</v>
      </c>
      <c r="O130" t="str">
        <f>TEXT(SalesDataset[[#This Row],[Order_Date]],"mmm")</f>
        <v>Apr</v>
      </c>
      <c r="P130" s="1" t="str">
        <f>TEXT(SalesDataset[[#This Row],[Order_Date]],"YYYY")</f>
        <v>2026</v>
      </c>
      <c r="Q130" s="1" t="str">
        <f>_xlfn.TEXTJOIN(" ",TRUE,SalesDataset[[#This Row],[First_Name]],SalesDataset[[#This Row],[Last_Name]])</f>
        <v>Julie Keller</v>
      </c>
    </row>
    <row r="131" spans="1:17" x14ac:dyDescent="0.25">
      <c r="A131" s="1" t="s">
        <v>618</v>
      </c>
      <c r="B131" s="2">
        <v>46017</v>
      </c>
      <c r="C131" s="1" t="s">
        <v>619</v>
      </c>
      <c r="D131" s="1" t="s">
        <v>620</v>
      </c>
      <c r="E131" s="1" t="s">
        <v>621</v>
      </c>
      <c r="F131" s="1" t="s">
        <v>622</v>
      </c>
      <c r="G131" s="1" t="s">
        <v>44</v>
      </c>
      <c r="H131" s="1" t="s">
        <v>92</v>
      </c>
      <c r="I131" s="1" t="s">
        <v>21</v>
      </c>
      <c r="J131">
        <v>1</v>
      </c>
      <c r="K131">
        <v>31925</v>
      </c>
      <c r="L131">
        <v>31925</v>
      </c>
      <c r="M131" s="1" t="s">
        <v>38</v>
      </c>
      <c r="N131" s="1" t="s">
        <v>31</v>
      </c>
      <c r="O131" t="str">
        <f>TEXT(SalesDataset[[#This Row],[Order_Date]],"mmm")</f>
        <v>Dec</v>
      </c>
      <c r="P131" s="1" t="str">
        <f>TEXT(SalesDataset[[#This Row],[Order_Date]],"YYYY")</f>
        <v>2025</v>
      </c>
      <c r="Q131" s="1" t="str">
        <f>_xlfn.TEXTJOIN(" ",TRUE,SalesDataset[[#This Row],[First_Name]],SalesDataset[[#This Row],[Last_Name]])</f>
        <v>Patrick Collier</v>
      </c>
    </row>
    <row r="132" spans="1:17" x14ac:dyDescent="0.25">
      <c r="A132" s="1" t="s">
        <v>623</v>
      </c>
      <c r="B132" s="2">
        <v>45959</v>
      </c>
      <c r="C132" s="1" t="s">
        <v>481</v>
      </c>
      <c r="D132" s="1" t="s">
        <v>624</v>
      </c>
      <c r="E132" s="1" t="s">
        <v>625</v>
      </c>
      <c r="F132" s="1" t="s">
        <v>626</v>
      </c>
      <c r="G132" s="1" t="s">
        <v>29</v>
      </c>
      <c r="H132" s="1" t="s">
        <v>20</v>
      </c>
      <c r="I132" s="1" t="s">
        <v>21</v>
      </c>
      <c r="J132">
        <v>3</v>
      </c>
      <c r="K132">
        <v>16446</v>
      </c>
      <c r="L132">
        <v>49338</v>
      </c>
      <c r="M132" s="1" t="s">
        <v>38</v>
      </c>
      <c r="N132" s="1" t="s">
        <v>23</v>
      </c>
      <c r="O132" t="str">
        <f>TEXT(SalesDataset[[#This Row],[Order_Date]],"mmm")</f>
        <v>Oct</v>
      </c>
      <c r="P132" s="1" t="str">
        <f>TEXT(SalesDataset[[#This Row],[Order_Date]],"YYYY")</f>
        <v>2025</v>
      </c>
      <c r="Q132" s="1" t="str">
        <f>_xlfn.TEXTJOIN(" ",TRUE,SalesDataset[[#This Row],[First_Name]],SalesDataset[[#This Row],[Last_Name]])</f>
        <v>Dr. Angela Horton</v>
      </c>
    </row>
    <row r="133" spans="1:17" x14ac:dyDescent="0.25">
      <c r="A133" s="1" t="s">
        <v>627</v>
      </c>
      <c r="B133" s="2">
        <v>46070</v>
      </c>
      <c r="C133" s="1" t="s">
        <v>628</v>
      </c>
      <c r="D133" s="1" t="s">
        <v>629</v>
      </c>
      <c r="E133" s="1" t="s">
        <v>630</v>
      </c>
      <c r="F133" s="1" t="s">
        <v>631</v>
      </c>
      <c r="G133" s="1" t="s">
        <v>102</v>
      </c>
      <c r="H133" s="1" t="s">
        <v>45</v>
      </c>
      <c r="I133" s="1" t="s">
        <v>21</v>
      </c>
      <c r="J133">
        <v>1</v>
      </c>
      <c r="K133">
        <v>14555</v>
      </c>
      <c r="L133">
        <v>14555</v>
      </c>
      <c r="M133" s="1" t="s">
        <v>63</v>
      </c>
      <c r="N133" s="1" t="s">
        <v>23</v>
      </c>
      <c r="O133" t="str">
        <f>TEXT(SalesDataset[[#This Row],[Order_Date]],"mmm")</f>
        <v>Feb</v>
      </c>
      <c r="P133" s="1" t="str">
        <f>TEXT(SalesDataset[[#This Row],[Order_Date]],"YYYY")</f>
        <v>2026</v>
      </c>
      <c r="Q133" s="1" t="str">
        <f>_xlfn.TEXTJOIN(" ",TRUE,SalesDataset[[#This Row],[First_Name]],SalesDataset[[#This Row],[Last_Name]])</f>
        <v>Samantha Rivera</v>
      </c>
    </row>
    <row r="134" spans="1:17" x14ac:dyDescent="0.25">
      <c r="A134" s="1" t="s">
        <v>632</v>
      </c>
      <c r="B134" s="2">
        <v>46102</v>
      </c>
      <c r="C134" s="1" t="s">
        <v>633</v>
      </c>
      <c r="D134" s="1" t="s">
        <v>531</v>
      </c>
      <c r="E134" s="1" t="s">
        <v>634</v>
      </c>
      <c r="F134" s="1" t="s">
        <v>635</v>
      </c>
      <c r="G134" s="1" t="s">
        <v>29</v>
      </c>
      <c r="H134" s="1" t="s">
        <v>37</v>
      </c>
      <c r="I134" s="1" t="s">
        <v>21</v>
      </c>
      <c r="J134">
        <v>2</v>
      </c>
      <c r="K134">
        <v>48624</v>
      </c>
      <c r="L134">
        <v>97248</v>
      </c>
      <c r="M134" s="1" t="s">
        <v>74</v>
      </c>
      <c r="N134" s="1" t="s">
        <v>23</v>
      </c>
      <c r="O134" t="str">
        <f>TEXT(SalesDataset[[#This Row],[Order_Date]],"mmm")</f>
        <v>Mar</v>
      </c>
      <c r="P134" s="1" t="str">
        <f>TEXT(SalesDataset[[#This Row],[Order_Date]],"YYYY")</f>
        <v>2026</v>
      </c>
      <c r="Q134" s="1" t="str">
        <f>_xlfn.TEXTJOIN(" ",TRUE,SalesDataset[[#This Row],[First_Name]],SalesDataset[[#This Row],[Last_Name]])</f>
        <v>Chelsea Kidd</v>
      </c>
    </row>
    <row r="135" spans="1:17" x14ac:dyDescent="0.25">
      <c r="A135" s="1" t="s">
        <v>636</v>
      </c>
      <c r="B135" s="2">
        <v>46140</v>
      </c>
      <c r="C135" s="1" t="s">
        <v>637</v>
      </c>
      <c r="D135" s="1" t="s">
        <v>34</v>
      </c>
      <c r="E135" s="1" t="s">
        <v>638</v>
      </c>
      <c r="F135" s="1" t="s">
        <v>639</v>
      </c>
      <c r="G135" s="1" t="s">
        <v>44</v>
      </c>
      <c r="H135" s="1" t="s">
        <v>80</v>
      </c>
      <c r="I135" s="1" t="s">
        <v>21</v>
      </c>
      <c r="J135">
        <v>2</v>
      </c>
      <c r="K135">
        <v>66032</v>
      </c>
      <c r="L135">
        <v>132064</v>
      </c>
      <c r="M135" s="1" t="s">
        <v>22</v>
      </c>
      <c r="N135" s="1" t="s">
        <v>23</v>
      </c>
      <c r="O135" t="str">
        <f>TEXT(SalesDataset[[#This Row],[Order_Date]],"mmm")</f>
        <v>Apr</v>
      </c>
      <c r="P135" s="1" t="str">
        <f>TEXT(SalesDataset[[#This Row],[Order_Date]],"YYYY")</f>
        <v>2026</v>
      </c>
      <c r="Q135" s="1" t="str">
        <f>_xlfn.TEXTJOIN(" ",TRUE,SalesDataset[[#This Row],[First_Name]],SalesDataset[[#This Row],[Last_Name]])</f>
        <v>Jennifer Stevenson</v>
      </c>
    </row>
    <row r="136" spans="1:17" x14ac:dyDescent="0.25">
      <c r="A136" s="1" t="s">
        <v>640</v>
      </c>
      <c r="B136" s="2">
        <v>45997</v>
      </c>
      <c r="C136" s="1" t="s">
        <v>641</v>
      </c>
      <c r="D136" s="1" t="s">
        <v>642</v>
      </c>
      <c r="E136" s="1" t="s">
        <v>488</v>
      </c>
      <c r="F136" s="1" t="s">
        <v>643</v>
      </c>
      <c r="G136" s="1" t="s">
        <v>102</v>
      </c>
      <c r="H136" s="1" t="s">
        <v>45</v>
      </c>
      <c r="I136" s="1" t="s">
        <v>21</v>
      </c>
      <c r="J136">
        <v>3</v>
      </c>
      <c r="K136">
        <v>46468</v>
      </c>
      <c r="L136">
        <v>139404</v>
      </c>
      <c r="M136" s="1" t="s">
        <v>86</v>
      </c>
      <c r="N136" s="1" t="s">
        <v>46</v>
      </c>
      <c r="O136" t="str">
        <f>TEXT(SalesDataset[[#This Row],[Order_Date]],"mmm")</f>
        <v>Dec</v>
      </c>
      <c r="P136" s="1" t="str">
        <f>TEXT(SalesDataset[[#This Row],[Order_Date]],"YYYY")</f>
        <v>2025</v>
      </c>
      <c r="Q136" s="1" t="str">
        <f>_xlfn.TEXTJOIN(" ",TRUE,SalesDataset[[#This Row],[First_Name]],SalesDataset[[#This Row],[Last_Name]])</f>
        <v>Andrew Johnson</v>
      </c>
    </row>
    <row r="137" spans="1:17" x14ac:dyDescent="0.25">
      <c r="A137" s="1" t="s">
        <v>644</v>
      </c>
      <c r="B137" s="2">
        <v>46009</v>
      </c>
      <c r="C137" s="1" t="s">
        <v>645</v>
      </c>
      <c r="D137" s="1" t="s">
        <v>646</v>
      </c>
      <c r="E137" s="1" t="s">
        <v>647</v>
      </c>
      <c r="F137" s="1" t="s">
        <v>648</v>
      </c>
      <c r="G137" s="1" t="s">
        <v>29</v>
      </c>
      <c r="H137" s="1" t="s">
        <v>92</v>
      </c>
      <c r="I137" s="1" t="s">
        <v>21</v>
      </c>
      <c r="J137">
        <v>1</v>
      </c>
      <c r="K137">
        <v>43072</v>
      </c>
      <c r="L137">
        <v>43072</v>
      </c>
      <c r="M137" s="1" t="s">
        <v>22</v>
      </c>
      <c r="N137" s="1" t="s">
        <v>31</v>
      </c>
      <c r="O137" t="str">
        <f>TEXT(SalesDataset[[#This Row],[Order_Date]],"mmm")</f>
        <v>Dec</v>
      </c>
      <c r="P137" s="1" t="str">
        <f>TEXT(SalesDataset[[#This Row],[Order_Date]],"YYYY")</f>
        <v>2025</v>
      </c>
      <c r="Q137" s="1" t="str">
        <f>_xlfn.TEXTJOIN(" ",TRUE,SalesDataset[[#This Row],[First_Name]],SalesDataset[[#This Row],[Last_Name]])</f>
        <v>Roy Barajas</v>
      </c>
    </row>
    <row r="138" spans="1:17" x14ac:dyDescent="0.25">
      <c r="A138" s="1" t="s">
        <v>649</v>
      </c>
      <c r="B138" s="2">
        <v>46035</v>
      </c>
      <c r="C138" s="1" t="s">
        <v>650</v>
      </c>
      <c r="D138" s="1" t="s">
        <v>651</v>
      </c>
      <c r="E138" s="1" t="s">
        <v>652</v>
      </c>
      <c r="F138" s="1" t="s">
        <v>653</v>
      </c>
      <c r="G138" s="1" t="s">
        <v>19</v>
      </c>
      <c r="H138" s="1" t="s">
        <v>45</v>
      </c>
      <c r="I138" s="1" t="s">
        <v>21</v>
      </c>
      <c r="J138">
        <v>3</v>
      </c>
      <c r="K138">
        <v>35219</v>
      </c>
      <c r="L138">
        <v>105657</v>
      </c>
      <c r="M138" s="1" t="s">
        <v>74</v>
      </c>
      <c r="N138" s="1" t="s">
        <v>31</v>
      </c>
      <c r="O138" t="str">
        <f>TEXT(SalesDataset[[#This Row],[Order_Date]],"mmm")</f>
        <v>Jan</v>
      </c>
      <c r="P138" s="1" t="str">
        <f>TEXT(SalesDataset[[#This Row],[Order_Date]],"YYYY")</f>
        <v>2026</v>
      </c>
      <c r="Q138" s="1" t="str">
        <f>_xlfn.TEXTJOIN(" ",TRUE,SalesDataset[[#This Row],[First_Name]],SalesDataset[[#This Row],[Last_Name]])</f>
        <v>Robin Ramos</v>
      </c>
    </row>
    <row r="139" spans="1:17" x14ac:dyDescent="0.25">
      <c r="A139" s="1" t="s">
        <v>654</v>
      </c>
      <c r="B139" s="2">
        <v>46079</v>
      </c>
      <c r="C139" s="1" t="s">
        <v>655</v>
      </c>
      <c r="D139" s="1" t="s">
        <v>656</v>
      </c>
      <c r="E139" s="1" t="s">
        <v>657</v>
      </c>
      <c r="F139" s="1" t="s">
        <v>658</v>
      </c>
      <c r="G139" s="1" t="s">
        <v>44</v>
      </c>
      <c r="H139" s="1" t="s">
        <v>45</v>
      </c>
      <c r="I139" s="1" t="s">
        <v>21</v>
      </c>
      <c r="J139">
        <v>5</v>
      </c>
      <c r="K139">
        <v>25179</v>
      </c>
      <c r="L139">
        <v>125895</v>
      </c>
      <c r="M139" s="1" t="s">
        <v>74</v>
      </c>
      <c r="N139" s="1" t="s">
        <v>31</v>
      </c>
      <c r="O139" t="str">
        <f>TEXT(SalesDataset[[#This Row],[Order_Date]],"mmm")</f>
        <v>Feb</v>
      </c>
      <c r="P139" s="1" t="str">
        <f>TEXT(SalesDataset[[#This Row],[Order_Date]],"YYYY")</f>
        <v>2026</v>
      </c>
      <c r="Q139" s="1" t="str">
        <f>_xlfn.TEXTJOIN(" ",TRUE,SalesDataset[[#This Row],[First_Name]],SalesDataset[[#This Row],[Last_Name]])</f>
        <v>Alejandro Webb</v>
      </c>
    </row>
    <row r="140" spans="1:17" x14ac:dyDescent="0.25">
      <c r="A140" s="1" t="s">
        <v>659</v>
      </c>
      <c r="B140" s="2">
        <v>46060</v>
      </c>
      <c r="C140" s="1" t="s">
        <v>660</v>
      </c>
      <c r="D140" s="1" t="s">
        <v>661</v>
      </c>
      <c r="E140" s="1" t="s">
        <v>662</v>
      </c>
      <c r="F140" s="1" t="s">
        <v>663</v>
      </c>
      <c r="G140" s="1" t="s">
        <v>19</v>
      </c>
      <c r="H140" s="1" t="s">
        <v>92</v>
      </c>
      <c r="I140" s="1" t="s">
        <v>21</v>
      </c>
      <c r="J140">
        <v>1</v>
      </c>
      <c r="K140">
        <v>43665</v>
      </c>
      <c r="L140">
        <v>43665</v>
      </c>
      <c r="M140" s="1" t="s">
        <v>86</v>
      </c>
      <c r="N140" s="1" t="s">
        <v>46</v>
      </c>
      <c r="O140" t="str">
        <f>TEXT(SalesDataset[[#This Row],[Order_Date]],"mmm")</f>
        <v>Feb</v>
      </c>
      <c r="P140" s="1" t="str">
        <f>TEXT(SalesDataset[[#This Row],[Order_Date]],"YYYY")</f>
        <v>2026</v>
      </c>
      <c r="Q140" s="1" t="str">
        <f>_xlfn.TEXTJOIN(" ",TRUE,SalesDataset[[#This Row],[First_Name]],SalesDataset[[#This Row],[Last_Name]])</f>
        <v>Kayla Mills</v>
      </c>
    </row>
    <row r="141" spans="1:17" x14ac:dyDescent="0.25">
      <c r="A141" s="1" t="s">
        <v>664</v>
      </c>
      <c r="B141" s="2">
        <v>45846</v>
      </c>
      <c r="C141" s="1" t="s">
        <v>665</v>
      </c>
      <c r="D141" s="1" t="s">
        <v>666</v>
      </c>
      <c r="E141" s="1" t="s">
        <v>667</v>
      </c>
      <c r="F141" s="1" t="s">
        <v>668</v>
      </c>
      <c r="G141" s="1" t="s">
        <v>19</v>
      </c>
      <c r="H141" s="1" t="s">
        <v>92</v>
      </c>
      <c r="I141" s="1" t="s">
        <v>21</v>
      </c>
      <c r="J141">
        <v>5</v>
      </c>
      <c r="K141">
        <v>42664</v>
      </c>
      <c r="L141">
        <v>213320</v>
      </c>
      <c r="M141" s="1" t="s">
        <v>38</v>
      </c>
      <c r="N141" s="1" t="s">
        <v>23</v>
      </c>
      <c r="O141" t="str">
        <f>TEXT(SalesDataset[[#This Row],[Order_Date]],"mmm")</f>
        <v>Jul</v>
      </c>
      <c r="P141" s="1" t="str">
        <f>TEXT(SalesDataset[[#This Row],[Order_Date]],"YYYY")</f>
        <v>2025</v>
      </c>
      <c r="Q141" s="1" t="str">
        <f>_xlfn.TEXTJOIN(" ",TRUE,SalesDataset[[#This Row],[First_Name]],SalesDataset[[#This Row],[Last_Name]])</f>
        <v>Brittany Mercado</v>
      </c>
    </row>
    <row r="142" spans="1:17" x14ac:dyDescent="0.25">
      <c r="A142" s="1" t="s">
        <v>669</v>
      </c>
      <c r="B142" s="2">
        <v>45928</v>
      </c>
      <c r="C142" s="1" t="s">
        <v>670</v>
      </c>
      <c r="D142" s="1" t="s">
        <v>531</v>
      </c>
      <c r="E142" s="1" t="s">
        <v>393</v>
      </c>
      <c r="F142" s="1" t="s">
        <v>671</v>
      </c>
      <c r="G142" s="1" t="s">
        <v>19</v>
      </c>
      <c r="H142" s="1" t="s">
        <v>80</v>
      </c>
      <c r="I142" s="1" t="s">
        <v>21</v>
      </c>
      <c r="J142">
        <v>3</v>
      </c>
      <c r="K142">
        <v>65970</v>
      </c>
      <c r="L142">
        <v>197910</v>
      </c>
      <c r="M142" s="1" t="s">
        <v>38</v>
      </c>
      <c r="N142" s="1" t="s">
        <v>46</v>
      </c>
      <c r="O142" t="str">
        <f>TEXT(SalesDataset[[#This Row],[Order_Date]],"mmm")</f>
        <v>Sep</v>
      </c>
      <c r="P142" s="1" t="str">
        <f>TEXT(SalesDataset[[#This Row],[Order_Date]],"YYYY")</f>
        <v>2025</v>
      </c>
      <c r="Q142" s="1" t="str">
        <f>_xlfn.TEXTJOIN(" ",TRUE,SalesDataset[[#This Row],[First_Name]],SalesDataset[[#This Row],[Last_Name]])</f>
        <v>Chelsea Boone</v>
      </c>
    </row>
    <row r="143" spans="1:17" x14ac:dyDescent="0.25">
      <c r="A143" s="1" t="s">
        <v>672</v>
      </c>
      <c r="B143" s="2">
        <v>45887</v>
      </c>
      <c r="C143" s="1" t="s">
        <v>673</v>
      </c>
      <c r="D143" s="1" t="s">
        <v>674</v>
      </c>
      <c r="E143" s="1" t="s">
        <v>55</v>
      </c>
      <c r="F143" s="1" t="s">
        <v>675</v>
      </c>
      <c r="G143" s="1" t="s">
        <v>102</v>
      </c>
      <c r="H143" s="1" t="s">
        <v>30</v>
      </c>
      <c r="I143" s="1" t="s">
        <v>21</v>
      </c>
      <c r="J143">
        <v>2</v>
      </c>
      <c r="K143">
        <v>7089</v>
      </c>
      <c r="L143">
        <v>14178</v>
      </c>
      <c r="M143" s="1" t="s">
        <v>22</v>
      </c>
      <c r="N143" s="1" t="s">
        <v>31</v>
      </c>
      <c r="O143" t="str">
        <f>TEXT(SalesDataset[[#This Row],[Order_Date]],"mmm")</f>
        <v>Aug</v>
      </c>
      <c r="P143" s="1" t="str">
        <f>TEXT(SalesDataset[[#This Row],[Order_Date]],"YYYY")</f>
        <v>2025</v>
      </c>
      <c r="Q143" s="1" t="str">
        <f>_xlfn.TEXTJOIN(" ",TRUE,SalesDataset[[#This Row],[First_Name]],SalesDataset[[#This Row],[Last_Name]])</f>
        <v>Tim Miller</v>
      </c>
    </row>
    <row r="144" spans="1:17" x14ac:dyDescent="0.25">
      <c r="A144" s="1" t="s">
        <v>676</v>
      </c>
      <c r="B144" s="2">
        <v>46109</v>
      </c>
      <c r="C144" s="1" t="s">
        <v>677</v>
      </c>
      <c r="D144" s="1" t="s">
        <v>561</v>
      </c>
      <c r="E144" s="1" t="s">
        <v>441</v>
      </c>
      <c r="F144" s="1" t="s">
        <v>678</v>
      </c>
      <c r="G144" s="1" t="s">
        <v>102</v>
      </c>
      <c r="H144" s="1" t="s">
        <v>45</v>
      </c>
      <c r="I144" s="1" t="s">
        <v>21</v>
      </c>
      <c r="J144">
        <v>1</v>
      </c>
      <c r="K144">
        <v>23595</v>
      </c>
      <c r="L144">
        <v>23595</v>
      </c>
      <c r="M144" s="1" t="s">
        <v>86</v>
      </c>
      <c r="N144" s="1" t="s">
        <v>23</v>
      </c>
      <c r="O144" t="str">
        <f>TEXT(SalesDataset[[#This Row],[Order_Date]],"mmm")</f>
        <v>Mar</v>
      </c>
      <c r="P144" s="1" t="str">
        <f>TEXT(SalesDataset[[#This Row],[Order_Date]],"YYYY")</f>
        <v>2026</v>
      </c>
      <c r="Q144" s="1" t="str">
        <f>_xlfn.TEXTJOIN(" ",TRUE,SalesDataset[[#This Row],[First_Name]],SalesDataset[[#This Row],[Last_Name]])</f>
        <v>Mary Ford</v>
      </c>
    </row>
    <row r="145" spans="1:17" x14ac:dyDescent="0.25">
      <c r="A145" s="1" t="s">
        <v>679</v>
      </c>
      <c r="B145" s="2">
        <v>45905</v>
      </c>
      <c r="C145" s="1" t="s">
        <v>543</v>
      </c>
      <c r="D145" s="1" t="s">
        <v>680</v>
      </c>
      <c r="E145" s="1" t="s">
        <v>681</v>
      </c>
      <c r="F145" s="1" t="s">
        <v>682</v>
      </c>
      <c r="G145" s="1" t="s">
        <v>29</v>
      </c>
      <c r="H145" s="1" t="s">
        <v>30</v>
      </c>
      <c r="I145" s="1" t="s">
        <v>21</v>
      </c>
      <c r="J145">
        <v>4</v>
      </c>
      <c r="K145">
        <v>58814</v>
      </c>
      <c r="L145">
        <v>235256</v>
      </c>
      <c r="M145" s="1" t="s">
        <v>74</v>
      </c>
      <c r="N145" s="1" t="s">
        <v>23</v>
      </c>
      <c r="O145" t="str">
        <f>TEXT(SalesDataset[[#This Row],[Order_Date]],"mmm")</f>
        <v>Sep</v>
      </c>
      <c r="P145" s="1" t="str">
        <f>TEXT(SalesDataset[[#This Row],[Order_Date]],"YYYY")</f>
        <v>2025</v>
      </c>
      <c r="Q145" s="1" t="str">
        <f>_xlfn.TEXTJOIN(" ",TRUE,SalesDataset[[#This Row],[First_Name]],SalesDataset[[#This Row],[Last_Name]])</f>
        <v>Kaylee Fisher</v>
      </c>
    </row>
    <row r="146" spans="1:17" x14ac:dyDescent="0.25">
      <c r="A146" s="1" t="s">
        <v>683</v>
      </c>
      <c r="B146" s="2">
        <v>45994</v>
      </c>
      <c r="C146" s="1" t="s">
        <v>684</v>
      </c>
      <c r="D146" s="1" t="s">
        <v>232</v>
      </c>
      <c r="E146" s="1" t="s">
        <v>685</v>
      </c>
      <c r="F146" s="1" t="s">
        <v>686</v>
      </c>
      <c r="G146" s="1" t="s">
        <v>44</v>
      </c>
      <c r="H146" s="1" t="s">
        <v>80</v>
      </c>
      <c r="I146" s="1" t="s">
        <v>21</v>
      </c>
      <c r="J146">
        <v>2</v>
      </c>
      <c r="K146">
        <v>44772</v>
      </c>
      <c r="L146">
        <v>89544</v>
      </c>
      <c r="M146" s="1" t="s">
        <v>74</v>
      </c>
      <c r="N146" s="1" t="s">
        <v>46</v>
      </c>
      <c r="O146" t="str">
        <f>TEXT(SalesDataset[[#This Row],[Order_Date]],"mmm")</f>
        <v>Dec</v>
      </c>
      <c r="P146" s="1" t="str">
        <f>TEXT(SalesDataset[[#This Row],[Order_Date]],"YYYY")</f>
        <v>2025</v>
      </c>
      <c r="Q146" s="1" t="str">
        <f>_xlfn.TEXTJOIN(" ",TRUE,SalesDataset[[#This Row],[First_Name]],SalesDataset[[#This Row],[Last_Name]])</f>
        <v>Elijah Garza</v>
      </c>
    </row>
    <row r="147" spans="1:17" x14ac:dyDescent="0.25">
      <c r="A147" s="1" t="s">
        <v>687</v>
      </c>
      <c r="B147" s="2">
        <v>46006</v>
      </c>
      <c r="C147" s="1" t="s">
        <v>688</v>
      </c>
      <c r="D147" s="1" t="s">
        <v>184</v>
      </c>
      <c r="E147" s="1" t="s">
        <v>689</v>
      </c>
      <c r="F147" s="1" t="s">
        <v>690</v>
      </c>
      <c r="G147" s="1" t="s">
        <v>19</v>
      </c>
      <c r="H147" s="1" t="s">
        <v>45</v>
      </c>
      <c r="I147" s="1" t="s">
        <v>21</v>
      </c>
      <c r="J147">
        <v>4</v>
      </c>
      <c r="K147">
        <v>35838</v>
      </c>
      <c r="L147">
        <v>143352</v>
      </c>
      <c r="M147" s="1" t="s">
        <v>63</v>
      </c>
      <c r="N147" s="1" t="s">
        <v>23</v>
      </c>
      <c r="O147" t="str">
        <f>TEXT(SalesDataset[[#This Row],[Order_Date]],"mmm")</f>
        <v>Dec</v>
      </c>
      <c r="P147" s="1" t="str">
        <f>TEXT(SalesDataset[[#This Row],[Order_Date]],"YYYY")</f>
        <v>2025</v>
      </c>
      <c r="Q147" s="1" t="str">
        <f>_xlfn.TEXTJOIN(" ",TRUE,SalesDataset[[#This Row],[First_Name]],SalesDataset[[#This Row],[Last_Name]])</f>
        <v>William Mosley</v>
      </c>
    </row>
    <row r="148" spans="1:17" x14ac:dyDescent="0.25">
      <c r="A148" s="1" t="s">
        <v>691</v>
      </c>
      <c r="B148" s="2">
        <v>46139</v>
      </c>
      <c r="C148" s="1" t="s">
        <v>692</v>
      </c>
      <c r="D148" s="1" t="s">
        <v>693</v>
      </c>
      <c r="E148" s="1" t="s">
        <v>694</v>
      </c>
      <c r="F148" s="1" t="s">
        <v>695</v>
      </c>
      <c r="G148" s="1" t="s">
        <v>44</v>
      </c>
      <c r="H148" s="1" t="s">
        <v>45</v>
      </c>
      <c r="I148" s="1" t="s">
        <v>21</v>
      </c>
      <c r="J148">
        <v>4</v>
      </c>
      <c r="K148">
        <v>39108</v>
      </c>
      <c r="L148">
        <v>156432</v>
      </c>
      <c r="M148" s="1" t="s">
        <v>74</v>
      </c>
      <c r="N148" s="1" t="s">
        <v>23</v>
      </c>
      <c r="O148" t="str">
        <f>TEXT(SalesDataset[[#This Row],[Order_Date]],"mmm")</f>
        <v>Apr</v>
      </c>
      <c r="P148" s="1" t="str">
        <f>TEXT(SalesDataset[[#This Row],[Order_Date]],"YYYY")</f>
        <v>2026</v>
      </c>
      <c r="Q148" s="1" t="str">
        <f>_xlfn.TEXTJOIN(" ",TRUE,SalesDataset[[#This Row],[First_Name]],SalesDataset[[#This Row],[Last_Name]])</f>
        <v>Jessica Mullins</v>
      </c>
    </row>
    <row r="149" spans="1:17" x14ac:dyDescent="0.25">
      <c r="A149" s="1" t="s">
        <v>696</v>
      </c>
      <c r="B149" s="2">
        <v>45975</v>
      </c>
      <c r="C149" s="1" t="s">
        <v>697</v>
      </c>
      <c r="D149" s="1" t="s">
        <v>150</v>
      </c>
      <c r="E149" s="1" t="s">
        <v>498</v>
      </c>
      <c r="F149" s="1" t="s">
        <v>698</v>
      </c>
      <c r="G149" s="1" t="s">
        <v>19</v>
      </c>
      <c r="H149" s="1" t="s">
        <v>62</v>
      </c>
      <c r="I149" s="1" t="s">
        <v>21</v>
      </c>
      <c r="J149">
        <v>5</v>
      </c>
      <c r="K149">
        <v>9796</v>
      </c>
      <c r="L149">
        <v>48980</v>
      </c>
      <c r="M149" s="1" t="s">
        <v>74</v>
      </c>
      <c r="N149" s="1" t="s">
        <v>23</v>
      </c>
      <c r="O149" t="str">
        <f>TEXT(SalesDataset[[#This Row],[Order_Date]],"mmm")</f>
        <v>Nov</v>
      </c>
      <c r="P149" s="1" t="str">
        <f>TEXT(SalesDataset[[#This Row],[Order_Date]],"YYYY")</f>
        <v>2025</v>
      </c>
      <c r="Q149" s="1" t="str">
        <f>_xlfn.TEXTJOIN(" ",TRUE,SalesDataset[[#This Row],[First_Name]],SalesDataset[[#This Row],[Last_Name]])</f>
        <v>Michael Riley</v>
      </c>
    </row>
    <row r="150" spans="1:17" x14ac:dyDescent="0.25">
      <c r="A150" s="1" t="s">
        <v>699</v>
      </c>
      <c r="B150" s="2">
        <v>45779</v>
      </c>
      <c r="C150" s="1" t="s">
        <v>700</v>
      </c>
      <c r="D150" s="1" t="s">
        <v>701</v>
      </c>
      <c r="E150" s="1" t="s">
        <v>702</v>
      </c>
      <c r="F150" s="1" t="s">
        <v>703</v>
      </c>
      <c r="G150" s="1" t="s">
        <v>19</v>
      </c>
      <c r="H150" s="1" t="s">
        <v>62</v>
      </c>
      <c r="I150" s="1" t="s">
        <v>21</v>
      </c>
      <c r="J150">
        <v>4</v>
      </c>
      <c r="K150">
        <v>34634</v>
      </c>
      <c r="L150">
        <v>138536</v>
      </c>
      <c r="M150" s="1" t="s">
        <v>22</v>
      </c>
      <c r="N150" s="1" t="s">
        <v>31</v>
      </c>
      <c r="O150" t="str">
        <f>TEXT(SalesDataset[[#This Row],[Order_Date]],"mmm")</f>
        <v>May</v>
      </c>
      <c r="P150" s="1" t="str">
        <f>TEXT(SalesDataset[[#This Row],[Order_Date]],"YYYY")</f>
        <v>2025</v>
      </c>
      <c r="Q150" s="1" t="str">
        <f>_xlfn.TEXTJOIN(" ",TRUE,SalesDataset[[#This Row],[First_Name]],SalesDataset[[#This Row],[Last_Name]])</f>
        <v>Jared Hogan</v>
      </c>
    </row>
    <row r="151" spans="1:17" x14ac:dyDescent="0.25">
      <c r="A151" s="1" t="s">
        <v>704</v>
      </c>
      <c r="B151" s="2">
        <v>46062</v>
      </c>
      <c r="C151" s="1" t="s">
        <v>705</v>
      </c>
      <c r="D151" s="1" t="s">
        <v>706</v>
      </c>
      <c r="E151" s="1" t="s">
        <v>707</v>
      </c>
      <c r="F151" s="1" t="s">
        <v>708</v>
      </c>
      <c r="G151" s="1" t="s">
        <v>19</v>
      </c>
      <c r="H151" s="1" t="s">
        <v>20</v>
      </c>
      <c r="I151" s="1" t="s">
        <v>21</v>
      </c>
      <c r="J151">
        <v>1</v>
      </c>
      <c r="K151">
        <v>63253</v>
      </c>
      <c r="L151">
        <v>63253</v>
      </c>
      <c r="M151" s="1" t="s">
        <v>38</v>
      </c>
      <c r="N151" s="1" t="s">
        <v>31</v>
      </c>
      <c r="O151" t="str">
        <f>TEXT(SalesDataset[[#This Row],[Order_Date]],"mmm")</f>
        <v>Feb</v>
      </c>
      <c r="P151" s="1" t="str">
        <f>TEXT(SalesDataset[[#This Row],[Order_Date]],"YYYY")</f>
        <v>2026</v>
      </c>
      <c r="Q151" s="1" t="str">
        <f>_xlfn.TEXTJOIN(" ",TRUE,SalesDataset[[#This Row],[First_Name]],SalesDataset[[#This Row],[Last_Name]])</f>
        <v>Michelle Lester</v>
      </c>
    </row>
    <row r="152" spans="1:17" x14ac:dyDescent="0.25">
      <c r="A152" s="1" t="s">
        <v>709</v>
      </c>
      <c r="B152" s="2">
        <v>46006</v>
      </c>
      <c r="C152" s="1" t="s">
        <v>710</v>
      </c>
      <c r="D152" s="1" t="s">
        <v>77</v>
      </c>
      <c r="E152" s="1" t="s">
        <v>711</v>
      </c>
      <c r="F152" s="1" t="s">
        <v>712</v>
      </c>
      <c r="G152" s="1" t="s">
        <v>44</v>
      </c>
      <c r="H152" s="1" t="s">
        <v>92</v>
      </c>
      <c r="I152" s="1" t="s">
        <v>21</v>
      </c>
      <c r="J152">
        <v>4</v>
      </c>
      <c r="K152">
        <v>58905</v>
      </c>
      <c r="L152">
        <v>235620</v>
      </c>
      <c r="M152" s="1" t="s">
        <v>74</v>
      </c>
      <c r="N152" s="1" t="s">
        <v>46</v>
      </c>
      <c r="O152" t="str">
        <f>TEXT(SalesDataset[[#This Row],[Order_Date]],"mmm")</f>
        <v>Dec</v>
      </c>
      <c r="P152" s="1" t="str">
        <f>TEXT(SalesDataset[[#This Row],[Order_Date]],"YYYY")</f>
        <v>2025</v>
      </c>
      <c r="Q152" s="1" t="str">
        <f>_xlfn.TEXTJOIN(" ",TRUE,SalesDataset[[#This Row],[First_Name]],SalesDataset[[#This Row],[Last_Name]])</f>
        <v>Mark Dixon</v>
      </c>
    </row>
    <row r="153" spans="1:17" x14ac:dyDescent="0.25">
      <c r="A153" s="1" t="s">
        <v>713</v>
      </c>
      <c r="B153" s="2">
        <v>45923</v>
      </c>
      <c r="C153" s="1" t="s">
        <v>714</v>
      </c>
      <c r="D153" s="1" t="s">
        <v>150</v>
      </c>
      <c r="E153" s="1" t="s">
        <v>715</v>
      </c>
      <c r="F153" s="1" t="s">
        <v>716</v>
      </c>
      <c r="G153" s="1" t="s">
        <v>19</v>
      </c>
      <c r="H153" s="1" t="s">
        <v>45</v>
      </c>
      <c r="I153" s="1" t="s">
        <v>21</v>
      </c>
      <c r="J153">
        <v>4</v>
      </c>
      <c r="K153">
        <v>78584</v>
      </c>
      <c r="L153">
        <v>314336</v>
      </c>
      <c r="M153" s="1" t="s">
        <v>22</v>
      </c>
      <c r="N153" s="1" t="s">
        <v>31</v>
      </c>
      <c r="O153" t="str">
        <f>TEXT(SalesDataset[[#This Row],[Order_Date]],"mmm")</f>
        <v>Sep</v>
      </c>
      <c r="P153" s="1" t="str">
        <f>TEXT(SalesDataset[[#This Row],[Order_Date]],"YYYY")</f>
        <v>2025</v>
      </c>
      <c r="Q153" s="1" t="str">
        <f>_xlfn.TEXTJOIN(" ",TRUE,SalesDataset[[#This Row],[First_Name]],SalesDataset[[#This Row],[Last_Name]])</f>
        <v>Michael Underwood</v>
      </c>
    </row>
    <row r="154" spans="1:17" x14ac:dyDescent="0.25">
      <c r="A154" s="1" t="s">
        <v>717</v>
      </c>
      <c r="B154" s="2">
        <v>46098</v>
      </c>
      <c r="C154" s="1" t="s">
        <v>718</v>
      </c>
      <c r="D154" s="1" t="s">
        <v>719</v>
      </c>
      <c r="E154" s="1" t="s">
        <v>720</v>
      </c>
      <c r="F154" s="1" t="s">
        <v>721</v>
      </c>
      <c r="G154" s="1" t="s">
        <v>44</v>
      </c>
      <c r="H154" s="1" t="s">
        <v>37</v>
      </c>
      <c r="I154" s="1" t="s">
        <v>21</v>
      </c>
      <c r="J154">
        <v>1</v>
      </c>
      <c r="K154">
        <v>17695</v>
      </c>
      <c r="L154">
        <v>17695</v>
      </c>
      <c r="M154" s="1" t="s">
        <v>86</v>
      </c>
      <c r="N154" s="1" t="s">
        <v>23</v>
      </c>
      <c r="O154" t="str">
        <f>TEXT(SalesDataset[[#This Row],[Order_Date]],"mmm")</f>
        <v>Mar</v>
      </c>
      <c r="P154" s="1" t="str">
        <f>TEXT(SalesDataset[[#This Row],[Order_Date]],"YYYY")</f>
        <v>2026</v>
      </c>
      <c r="Q154" s="1" t="str">
        <f>_xlfn.TEXTJOIN(" ",TRUE,SalesDataset[[#This Row],[First_Name]],SalesDataset[[#This Row],[Last_Name]])</f>
        <v>Kathryn Orozco</v>
      </c>
    </row>
    <row r="155" spans="1:17" x14ac:dyDescent="0.25">
      <c r="A155" s="1" t="s">
        <v>722</v>
      </c>
      <c r="B155" s="2">
        <v>45881</v>
      </c>
      <c r="C155" s="1" t="s">
        <v>723</v>
      </c>
      <c r="D155" s="1" t="s">
        <v>724</v>
      </c>
      <c r="E155" s="1" t="s">
        <v>725</v>
      </c>
      <c r="F155" s="1" t="s">
        <v>726</v>
      </c>
      <c r="G155" s="1" t="s">
        <v>102</v>
      </c>
      <c r="H155" s="1" t="s">
        <v>30</v>
      </c>
      <c r="I155" s="1" t="s">
        <v>21</v>
      </c>
      <c r="J155">
        <v>1</v>
      </c>
      <c r="K155">
        <v>21398</v>
      </c>
      <c r="L155">
        <v>21398</v>
      </c>
      <c r="M155" s="1" t="s">
        <v>63</v>
      </c>
      <c r="N155" s="1" t="s">
        <v>46</v>
      </c>
      <c r="O155" t="str">
        <f>TEXT(SalesDataset[[#This Row],[Order_Date]],"mmm")</f>
        <v>Aug</v>
      </c>
      <c r="P155" s="1" t="str">
        <f>TEXT(SalesDataset[[#This Row],[Order_Date]],"YYYY")</f>
        <v>2025</v>
      </c>
      <c r="Q155" s="1" t="str">
        <f>_xlfn.TEXTJOIN(" ",TRUE,SalesDataset[[#This Row],[First_Name]],SalesDataset[[#This Row],[Last_Name]])</f>
        <v>Douglas Powers</v>
      </c>
    </row>
    <row r="156" spans="1:17" x14ac:dyDescent="0.25">
      <c r="A156" s="1" t="s">
        <v>727</v>
      </c>
      <c r="B156" s="2">
        <v>45953</v>
      </c>
      <c r="C156" s="1" t="s">
        <v>728</v>
      </c>
      <c r="D156" s="1" t="s">
        <v>729</v>
      </c>
      <c r="E156" s="1" t="s">
        <v>730</v>
      </c>
      <c r="F156" s="1" t="s">
        <v>731</v>
      </c>
      <c r="G156" s="1" t="s">
        <v>44</v>
      </c>
      <c r="H156" s="1" t="s">
        <v>37</v>
      </c>
      <c r="I156" s="1" t="s">
        <v>21</v>
      </c>
      <c r="J156">
        <v>2</v>
      </c>
      <c r="K156">
        <v>31741</v>
      </c>
      <c r="L156">
        <v>63482</v>
      </c>
      <c r="M156" s="1" t="s">
        <v>86</v>
      </c>
      <c r="N156" s="1" t="s">
        <v>23</v>
      </c>
      <c r="O156" t="str">
        <f>TEXT(SalesDataset[[#This Row],[Order_Date]],"mmm")</f>
        <v>Oct</v>
      </c>
      <c r="P156" s="1" t="str">
        <f>TEXT(SalesDataset[[#This Row],[Order_Date]],"YYYY")</f>
        <v>2025</v>
      </c>
      <c r="Q156" s="1" t="str">
        <f>_xlfn.TEXTJOIN(" ",TRUE,SalesDataset[[#This Row],[First_Name]],SalesDataset[[#This Row],[Last_Name]])</f>
        <v>Linda Tate</v>
      </c>
    </row>
    <row r="157" spans="1:17" x14ac:dyDescent="0.25">
      <c r="A157" s="1" t="s">
        <v>732</v>
      </c>
      <c r="B157" s="2">
        <v>45952</v>
      </c>
      <c r="C157" s="1" t="s">
        <v>733</v>
      </c>
      <c r="D157" s="1" t="s">
        <v>734</v>
      </c>
      <c r="E157" s="1" t="s">
        <v>735</v>
      </c>
      <c r="F157" s="1" t="s">
        <v>736</v>
      </c>
      <c r="G157" s="1" t="s">
        <v>19</v>
      </c>
      <c r="H157" s="1" t="s">
        <v>62</v>
      </c>
      <c r="I157" s="1" t="s">
        <v>21</v>
      </c>
      <c r="J157">
        <v>4</v>
      </c>
      <c r="K157">
        <v>79805</v>
      </c>
      <c r="L157">
        <v>319220</v>
      </c>
      <c r="M157" s="1" t="s">
        <v>38</v>
      </c>
      <c r="N157" s="1" t="s">
        <v>46</v>
      </c>
      <c r="O157" t="str">
        <f>TEXT(SalesDataset[[#This Row],[Order_Date]],"mmm")</f>
        <v>Oct</v>
      </c>
      <c r="P157" s="1" t="str">
        <f>TEXT(SalesDataset[[#This Row],[Order_Date]],"YYYY")</f>
        <v>2025</v>
      </c>
      <c r="Q157" s="1" t="str">
        <f>_xlfn.TEXTJOIN(" ",TRUE,SalesDataset[[#This Row],[First_Name]],SalesDataset[[#This Row],[Last_Name]])</f>
        <v>Stacy Barrett</v>
      </c>
    </row>
    <row r="158" spans="1:17" x14ac:dyDescent="0.25">
      <c r="A158" s="1" t="s">
        <v>737</v>
      </c>
      <c r="B158" s="2">
        <v>46137</v>
      </c>
      <c r="C158" s="1" t="s">
        <v>738</v>
      </c>
      <c r="D158" s="1" t="s">
        <v>739</v>
      </c>
      <c r="E158" s="1" t="s">
        <v>616</v>
      </c>
      <c r="F158" s="1" t="s">
        <v>740</v>
      </c>
      <c r="G158" s="1" t="s">
        <v>29</v>
      </c>
      <c r="H158" s="1" t="s">
        <v>37</v>
      </c>
      <c r="I158" s="1" t="s">
        <v>21</v>
      </c>
      <c r="J158">
        <v>5</v>
      </c>
      <c r="K158">
        <v>694</v>
      </c>
      <c r="L158">
        <v>3470</v>
      </c>
      <c r="M158" s="1" t="s">
        <v>74</v>
      </c>
      <c r="N158" s="1" t="s">
        <v>46</v>
      </c>
      <c r="O158" t="str">
        <f>TEXT(SalesDataset[[#This Row],[Order_Date]],"mmm")</f>
        <v>Apr</v>
      </c>
      <c r="P158" s="1" t="str">
        <f>TEXT(SalesDataset[[#This Row],[Order_Date]],"YYYY")</f>
        <v>2026</v>
      </c>
      <c r="Q158" s="1" t="str">
        <f>_xlfn.TEXTJOIN(" ",TRUE,SalesDataset[[#This Row],[First_Name]],SalesDataset[[#This Row],[Last_Name]])</f>
        <v>Gary Keller</v>
      </c>
    </row>
    <row r="159" spans="1:17" x14ac:dyDescent="0.25">
      <c r="A159" s="1" t="s">
        <v>741</v>
      </c>
      <c r="B159" s="2">
        <v>45821</v>
      </c>
      <c r="C159" s="1" t="s">
        <v>742</v>
      </c>
      <c r="D159" s="1" t="s">
        <v>743</v>
      </c>
      <c r="E159" s="1" t="s">
        <v>131</v>
      </c>
      <c r="F159" s="1" t="s">
        <v>744</v>
      </c>
      <c r="G159" s="1" t="s">
        <v>19</v>
      </c>
      <c r="H159" s="1" t="s">
        <v>30</v>
      </c>
      <c r="I159" s="1" t="s">
        <v>21</v>
      </c>
      <c r="J159">
        <v>3</v>
      </c>
      <c r="K159">
        <v>20705</v>
      </c>
      <c r="L159">
        <v>62115</v>
      </c>
      <c r="M159" s="1" t="s">
        <v>86</v>
      </c>
      <c r="N159" s="1" t="s">
        <v>23</v>
      </c>
      <c r="O159" t="str">
        <f>TEXT(SalesDataset[[#This Row],[Order_Date]],"mmm")</f>
        <v>Jun</v>
      </c>
      <c r="P159" s="1" t="str">
        <f>TEXT(SalesDataset[[#This Row],[Order_Date]],"YYYY")</f>
        <v>2025</v>
      </c>
      <c r="Q159" s="1" t="str">
        <f>_xlfn.TEXTJOIN(" ",TRUE,SalesDataset[[#This Row],[First_Name]],SalesDataset[[#This Row],[Last_Name]])</f>
        <v>Jodi Smith</v>
      </c>
    </row>
    <row r="160" spans="1:17" x14ac:dyDescent="0.25">
      <c r="A160" s="1" t="s">
        <v>745</v>
      </c>
      <c r="B160" s="2">
        <v>45790</v>
      </c>
      <c r="C160" s="1" t="s">
        <v>746</v>
      </c>
      <c r="D160" s="1" t="s">
        <v>747</v>
      </c>
      <c r="E160" s="1" t="s">
        <v>748</v>
      </c>
      <c r="F160" s="1" t="s">
        <v>749</v>
      </c>
      <c r="G160" s="1" t="s">
        <v>29</v>
      </c>
      <c r="H160" s="1" t="s">
        <v>92</v>
      </c>
      <c r="I160" s="1" t="s">
        <v>21</v>
      </c>
      <c r="J160">
        <v>1</v>
      </c>
      <c r="K160">
        <v>61216</v>
      </c>
      <c r="L160">
        <v>61216</v>
      </c>
      <c r="M160" s="1" t="s">
        <v>86</v>
      </c>
      <c r="N160" s="1" t="s">
        <v>23</v>
      </c>
      <c r="O160" t="str">
        <f>TEXT(SalesDataset[[#This Row],[Order_Date]],"mmm")</f>
        <v>May</v>
      </c>
      <c r="P160" s="1" t="str">
        <f>TEXT(SalesDataset[[#This Row],[Order_Date]],"YYYY")</f>
        <v>2025</v>
      </c>
      <c r="Q160" s="1" t="str">
        <f>_xlfn.TEXTJOIN(" ",TRUE,SalesDataset[[#This Row],[First_Name]],SalesDataset[[#This Row],[Last_Name]])</f>
        <v>Stephanie Oliver</v>
      </c>
    </row>
    <row r="161" spans="1:17" x14ac:dyDescent="0.25">
      <c r="A161" s="1" t="s">
        <v>750</v>
      </c>
      <c r="B161" s="2">
        <v>45985</v>
      </c>
      <c r="C161" s="1" t="s">
        <v>751</v>
      </c>
      <c r="D161" s="1" t="s">
        <v>752</v>
      </c>
      <c r="E161" s="1" t="s">
        <v>450</v>
      </c>
      <c r="F161" s="1" t="s">
        <v>753</v>
      </c>
      <c r="G161" s="1" t="s">
        <v>19</v>
      </c>
      <c r="H161" s="1" t="s">
        <v>37</v>
      </c>
      <c r="I161" s="1" t="s">
        <v>21</v>
      </c>
      <c r="J161">
        <v>1</v>
      </c>
      <c r="K161">
        <v>70565</v>
      </c>
      <c r="L161">
        <v>70565</v>
      </c>
      <c r="M161" s="1" t="s">
        <v>22</v>
      </c>
      <c r="N161" s="1" t="s">
        <v>46</v>
      </c>
      <c r="O161" t="str">
        <f>TEXT(SalesDataset[[#This Row],[Order_Date]],"mmm")</f>
        <v>Nov</v>
      </c>
      <c r="P161" s="1" t="str">
        <f>TEXT(SalesDataset[[#This Row],[Order_Date]],"YYYY")</f>
        <v>2025</v>
      </c>
      <c r="Q161" s="1" t="str">
        <f>_xlfn.TEXTJOIN(" ",TRUE,SalesDataset[[#This Row],[First_Name]],SalesDataset[[#This Row],[Last_Name]])</f>
        <v>Daniel Jones</v>
      </c>
    </row>
    <row r="162" spans="1:17" x14ac:dyDescent="0.25">
      <c r="A162" s="1" t="s">
        <v>754</v>
      </c>
      <c r="B162" s="2">
        <v>45996</v>
      </c>
      <c r="C162" s="1" t="s">
        <v>755</v>
      </c>
      <c r="D162" s="1" t="s">
        <v>561</v>
      </c>
      <c r="E162" s="1" t="s">
        <v>756</v>
      </c>
      <c r="F162" s="1" t="s">
        <v>757</v>
      </c>
      <c r="G162" s="1" t="s">
        <v>102</v>
      </c>
      <c r="H162" s="1" t="s">
        <v>30</v>
      </c>
      <c r="I162" s="1" t="s">
        <v>21</v>
      </c>
      <c r="J162">
        <v>3</v>
      </c>
      <c r="K162">
        <v>55353</v>
      </c>
      <c r="L162">
        <v>166059</v>
      </c>
      <c r="M162" s="1" t="s">
        <v>22</v>
      </c>
      <c r="N162" s="1" t="s">
        <v>23</v>
      </c>
      <c r="O162" t="str">
        <f>TEXT(SalesDataset[[#This Row],[Order_Date]],"mmm")</f>
        <v>Dec</v>
      </c>
      <c r="P162" s="1" t="str">
        <f>TEXT(SalesDataset[[#This Row],[Order_Date]],"YYYY")</f>
        <v>2025</v>
      </c>
      <c r="Q162" s="1" t="str">
        <f>_xlfn.TEXTJOIN(" ",TRUE,SalesDataset[[#This Row],[First_Name]],SalesDataset[[#This Row],[Last_Name]])</f>
        <v>Mary Bond</v>
      </c>
    </row>
    <row r="163" spans="1:17" x14ac:dyDescent="0.25">
      <c r="A163" s="1" t="s">
        <v>758</v>
      </c>
      <c r="B163" s="2">
        <v>45922</v>
      </c>
      <c r="C163" s="1" t="s">
        <v>759</v>
      </c>
      <c r="D163" s="1" t="s">
        <v>255</v>
      </c>
      <c r="E163" s="1" t="s">
        <v>760</v>
      </c>
      <c r="F163" s="1" t="s">
        <v>761</v>
      </c>
      <c r="G163" s="1" t="s">
        <v>102</v>
      </c>
      <c r="H163" s="1" t="s">
        <v>20</v>
      </c>
      <c r="I163" s="1" t="s">
        <v>21</v>
      </c>
      <c r="J163">
        <v>4</v>
      </c>
      <c r="K163">
        <v>62528</v>
      </c>
      <c r="L163">
        <v>250112</v>
      </c>
      <c r="M163" s="1" t="s">
        <v>74</v>
      </c>
      <c r="N163" s="1" t="s">
        <v>31</v>
      </c>
      <c r="O163" t="str">
        <f>TEXT(SalesDataset[[#This Row],[Order_Date]],"mmm")</f>
        <v>Sep</v>
      </c>
      <c r="P163" s="1" t="str">
        <f>TEXT(SalesDataset[[#This Row],[Order_Date]],"YYYY")</f>
        <v>2025</v>
      </c>
      <c r="Q163" s="1" t="str">
        <f>_xlfn.TEXTJOIN(" ",TRUE,SalesDataset[[#This Row],[First_Name]],SalesDataset[[#This Row],[Last_Name]])</f>
        <v>Kimberly Odom</v>
      </c>
    </row>
    <row r="164" spans="1:17" x14ac:dyDescent="0.25">
      <c r="A164" s="1" t="s">
        <v>762</v>
      </c>
      <c r="B164" s="2">
        <v>45801</v>
      </c>
      <c r="C164" s="1" t="s">
        <v>763</v>
      </c>
      <c r="D164" s="1" t="s">
        <v>764</v>
      </c>
      <c r="E164" s="1" t="s">
        <v>765</v>
      </c>
      <c r="F164" s="1" t="s">
        <v>766</v>
      </c>
      <c r="G164" s="1" t="s">
        <v>102</v>
      </c>
      <c r="H164" s="1" t="s">
        <v>37</v>
      </c>
      <c r="I164" s="1" t="s">
        <v>21</v>
      </c>
      <c r="J164">
        <v>2</v>
      </c>
      <c r="K164">
        <v>79314</v>
      </c>
      <c r="L164">
        <v>158628</v>
      </c>
      <c r="M164" s="1" t="s">
        <v>22</v>
      </c>
      <c r="N164" s="1" t="s">
        <v>46</v>
      </c>
      <c r="O164" t="str">
        <f>TEXT(SalesDataset[[#This Row],[Order_Date]],"mmm")</f>
        <v>May</v>
      </c>
      <c r="P164" s="1" t="str">
        <f>TEXT(SalesDataset[[#This Row],[Order_Date]],"YYYY")</f>
        <v>2025</v>
      </c>
      <c r="Q164" s="1" t="str">
        <f>_xlfn.TEXTJOIN(" ",TRUE,SalesDataset[[#This Row],[First_Name]],SalesDataset[[#This Row],[Last_Name]])</f>
        <v>Susan Santos</v>
      </c>
    </row>
    <row r="165" spans="1:17" x14ac:dyDescent="0.25">
      <c r="A165" s="1" t="s">
        <v>767</v>
      </c>
      <c r="B165" s="2">
        <v>45847</v>
      </c>
      <c r="C165" s="1" t="s">
        <v>300</v>
      </c>
      <c r="D165" s="1" t="s">
        <v>54</v>
      </c>
      <c r="E165" s="1" t="s">
        <v>768</v>
      </c>
      <c r="F165" s="1" t="s">
        <v>769</v>
      </c>
      <c r="G165" s="1" t="s">
        <v>102</v>
      </c>
      <c r="H165" s="1" t="s">
        <v>62</v>
      </c>
      <c r="I165" s="1" t="s">
        <v>21</v>
      </c>
      <c r="J165">
        <v>3</v>
      </c>
      <c r="K165">
        <v>522</v>
      </c>
      <c r="L165">
        <v>1566</v>
      </c>
      <c r="M165" s="1" t="s">
        <v>22</v>
      </c>
      <c r="N165" s="1" t="s">
        <v>31</v>
      </c>
      <c r="O165" t="str">
        <f>TEXT(SalesDataset[[#This Row],[Order_Date]],"mmm")</f>
        <v>Jul</v>
      </c>
      <c r="P165" s="1" t="str">
        <f>TEXT(SalesDataset[[#This Row],[Order_Date]],"YYYY")</f>
        <v>2025</v>
      </c>
      <c r="Q165" s="1" t="str">
        <f>_xlfn.TEXTJOIN(" ",TRUE,SalesDataset[[#This Row],[First_Name]],SalesDataset[[#This Row],[Last_Name]])</f>
        <v>Seth Cardenas</v>
      </c>
    </row>
    <row r="166" spans="1:17" x14ac:dyDescent="0.25">
      <c r="A166" s="1" t="s">
        <v>770</v>
      </c>
      <c r="B166" s="2">
        <v>45964</v>
      </c>
      <c r="C166" s="1" t="s">
        <v>771</v>
      </c>
      <c r="D166" s="1" t="s">
        <v>772</v>
      </c>
      <c r="E166" s="1" t="s">
        <v>95</v>
      </c>
      <c r="F166" s="1" t="s">
        <v>773</v>
      </c>
      <c r="G166" s="1" t="s">
        <v>44</v>
      </c>
      <c r="H166" s="1" t="s">
        <v>92</v>
      </c>
      <c r="I166" s="1" t="s">
        <v>21</v>
      </c>
      <c r="J166">
        <v>4</v>
      </c>
      <c r="K166">
        <v>30761</v>
      </c>
      <c r="L166">
        <v>123044</v>
      </c>
      <c r="M166" s="1" t="s">
        <v>38</v>
      </c>
      <c r="N166" s="1" t="s">
        <v>23</v>
      </c>
      <c r="O166" t="str">
        <f>TEXT(SalesDataset[[#This Row],[Order_Date]],"mmm")</f>
        <v>Nov</v>
      </c>
      <c r="P166" s="1" t="str">
        <f>TEXT(SalesDataset[[#This Row],[Order_Date]],"YYYY")</f>
        <v>2025</v>
      </c>
      <c r="Q166" s="1" t="str">
        <f>_xlfn.TEXTJOIN(" ",TRUE,SalesDataset[[#This Row],[First_Name]],SalesDataset[[#This Row],[Last_Name]])</f>
        <v>Desiree Murray</v>
      </c>
    </row>
    <row r="167" spans="1:17" x14ac:dyDescent="0.25">
      <c r="A167" s="1" t="s">
        <v>774</v>
      </c>
      <c r="B167" s="2">
        <v>45946</v>
      </c>
      <c r="C167" s="1" t="s">
        <v>211</v>
      </c>
      <c r="D167" s="1" t="s">
        <v>775</v>
      </c>
      <c r="E167" s="1" t="s">
        <v>384</v>
      </c>
      <c r="F167" s="1" t="s">
        <v>776</v>
      </c>
      <c r="G167" s="1" t="s">
        <v>19</v>
      </c>
      <c r="H167" s="1" t="s">
        <v>80</v>
      </c>
      <c r="I167" s="1" t="s">
        <v>21</v>
      </c>
      <c r="J167">
        <v>4</v>
      </c>
      <c r="K167">
        <v>50827</v>
      </c>
      <c r="L167">
        <v>203308</v>
      </c>
      <c r="M167" s="1" t="s">
        <v>38</v>
      </c>
      <c r="N167" s="1" t="s">
        <v>46</v>
      </c>
      <c r="O167" t="str">
        <f>TEXT(SalesDataset[[#This Row],[Order_Date]],"mmm")</f>
        <v>Oct</v>
      </c>
      <c r="P167" s="1" t="str">
        <f>TEXT(SalesDataset[[#This Row],[Order_Date]],"YYYY")</f>
        <v>2025</v>
      </c>
      <c r="Q167" s="1" t="str">
        <f>_xlfn.TEXTJOIN(" ",TRUE,SalesDataset[[#This Row],[First_Name]],SalesDataset[[#This Row],[Last_Name]])</f>
        <v>Elizabeth Ortiz</v>
      </c>
    </row>
    <row r="168" spans="1:17" x14ac:dyDescent="0.25">
      <c r="A168" s="1" t="s">
        <v>777</v>
      </c>
      <c r="B168" s="2">
        <v>45850</v>
      </c>
      <c r="C168" s="1" t="s">
        <v>778</v>
      </c>
      <c r="D168" s="1" t="s">
        <v>779</v>
      </c>
      <c r="E168" s="1" t="s">
        <v>780</v>
      </c>
      <c r="F168" s="1" t="s">
        <v>781</v>
      </c>
      <c r="G168" s="1" t="s">
        <v>19</v>
      </c>
      <c r="H168" s="1" t="s">
        <v>37</v>
      </c>
      <c r="I168" s="1" t="s">
        <v>21</v>
      </c>
      <c r="J168">
        <v>1</v>
      </c>
      <c r="K168">
        <v>68342</v>
      </c>
      <c r="L168">
        <v>68342</v>
      </c>
      <c r="M168" s="1" t="s">
        <v>63</v>
      </c>
      <c r="N168" s="1" t="s">
        <v>23</v>
      </c>
      <c r="O168" t="str">
        <f>TEXT(SalesDataset[[#This Row],[Order_Date]],"mmm")</f>
        <v>Jul</v>
      </c>
      <c r="P168" s="1" t="str">
        <f>TEXT(SalesDataset[[#This Row],[Order_Date]],"YYYY")</f>
        <v>2025</v>
      </c>
      <c r="Q168" s="1" t="str">
        <f>_xlfn.TEXTJOIN(" ",TRUE,SalesDataset[[#This Row],[First_Name]],SalesDataset[[#This Row],[Last_Name]])</f>
        <v>Natalie Park</v>
      </c>
    </row>
    <row r="169" spans="1:17" x14ac:dyDescent="0.25">
      <c r="A169" s="1" t="s">
        <v>782</v>
      </c>
      <c r="B169" s="2">
        <v>45994</v>
      </c>
      <c r="C169" s="1" t="s">
        <v>783</v>
      </c>
      <c r="D169" s="1" t="s">
        <v>227</v>
      </c>
      <c r="E169" s="1" t="s">
        <v>784</v>
      </c>
      <c r="F169" s="1" t="s">
        <v>785</v>
      </c>
      <c r="G169" s="1" t="s">
        <v>102</v>
      </c>
      <c r="H169" s="1" t="s">
        <v>37</v>
      </c>
      <c r="I169" s="1" t="s">
        <v>21</v>
      </c>
      <c r="J169">
        <v>5</v>
      </c>
      <c r="K169">
        <v>46599</v>
      </c>
      <c r="L169">
        <v>232995</v>
      </c>
      <c r="M169" s="1" t="s">
        <v>38</v>
      </c>
      <c r="N169" s="1" t="s">
        <v>46</v>
      </c>
      <c r="O169" t="str">
        <f>TEXT(SalesDataset[[#This Row],[Order_Date]],"mmm")</f>
        <v>Dec</v>
      </c>
      <c r="P169" s="1" t="str">
        <f>TEXT(SalesDataset[[#This Row],[Order_Date]],"YYYY")</f>
        <v>2025</v>
      </c>
      <c r="Q169" s="1" t="str">
        <f>_xlfn.TEXTJOIN(" ",TRUE,SalesDataset[[#This Row],[First_Name]],SalesDataset[[#This Row],[Last_Name]])</f>
        <v>Julie Whitney</v>
      </c>
    </row>
    <row r="170" spans="1:17" x14ac:dyDescent="0.25">
      <c r="A170" s="1" t="s">
        <v>786</v>
      </c>
      <c r="B170" s="2">
        <v>46074</v>
      </c>
      <c r="C170" s="1" t="s">
        <v>787</v>
      </c>
      <c r="D170" s="1" t="s">
        <v>305</v>
      </c>
      <c r="E170" s="1" t="s">
        <v>788</v>
      </c>
      <c r="F170" s="1" t="s">
        <v>789</v>
      </c>
      <c r="G170" s="1" t="s">
        <v>19</v>
      </c>
      <c r="H170" s="1" t="s">
        <v>30</v>
      </c>
      <c r="I170" s="1" t="s">
        <v>21</v>
      </c>
      <c r="J170">
        <v>2</v>
      </c>
      <c r="K170">
        <v>13249</v>
      </c>
      <c r="L170">
        <v>26498</v>
      </c>
      <c r="M170" s="1" t="s">
        <v>63</v>
      </c>
      <c r="N170" s="1" t="s">
        <v>31</v>
      </c>
      <c r="O170" t="str">
        <f>TEXT(SalesDataset[[#This Row],[Order_Date]],"mmm")</f>
        <v>Feb</v>
      </c>
      <c r="P170" s="1" t="str">
        <f>TEXT(SalesDataset[[#This Row],[Order_Date]],"YYYY")</f>
        <v>2026</v>
      </c>
      <c r="Q170" s="1" t="str">
        <f>_xlfn.TEXTJOIN(" ",TRUE,SalesDataset[[#This Row],[First_Name]],SalesDataset[[#This Row],[Last_Name]])</f>
        <v>Christopher Valenzuela</v>
      </c>
    </row>
    <row r="171" spans="1:17" x14ac:dyDescent="0.25">
      <c r="A171" s="1" t="s">
        <v>790</v>
      </c>
      <c r="B171" s="2">
        <v>46044</v>
      </c>
      <c r="C171" s="1" t="s">
        <v>705</v>
      </c>
      <c r="D171" s="1" t="s">
        <v>791</v>
      </c>
      <c r="E171" s="1" t="s">
        <v>792</v>
      </c>
      <c r="F171" s="1" t="s">
        <v>793</v>
      </c>
      <c r="G171" s="1" t="s">
        <v>44</v>
      </c>
      <c r="H171" s="1" t="s">
        <v>30</v>
      </c>
      <c r="I171" s="1" t="s">
        <v>21</v>
      </c>
      <c r="J171">
        <v>5</v>
      </c>
      <c r="K171">
        <v>4318</v>
      </c>
      <c r="L171">
        <v>21590</v>
      </c>
      <c r="M171" s="1" t="s">
        <v>22</v>
      </c>
      <c r="N171" s="1" t="s">
        <v>46</v>
      </c>
      <c r="O171" t="str">
        <f>TEXT(SalesDataset[[#This Row],[Order_Date]],"mmm")</f>
        <v>Jan</v>
      </c>
      <c r="P171" s="1" t="str">
        <f>TEXT(SalesDataset[[#This Row],[Order_Date]],"YYYY")</f>
        <v>2026</v>
      </c>
      <c r="Q171" s="1" t="str">
        <f>_xlfn.TEXTJOIN(" ",TRUE,SalesDataset[[#This Row],[First_Name]],SalesDataset[[#This Row],[Last_Name]])</f>
        <v>Veronica Wise</v>
      </c>
    </row>
    <row r="172" spans="1:17" x14ac:dyDescent="0.25">
      <c r="A172" s="1" t="s">
        <v>794</v>
      </c>
      <c r="B172" s="2">
        <v>45952</v>
      </c>
      <c r="C172" s="1" t="s">
        <v>795</v>
      </c>
      <c r="D172" s="1" t="s">
        <v>796</v>
      </c>
      <c r="E172" s="1" t="s">
        <v>374</v>
      </c>
      <c r="F172" s="1" t="s">
        <v>797</v>
      </c>
      <c r="G172" s="1" t="s">
        <v>102</v>
      </c>
      <c r="H172" s="1" t="s">
        <v>80</v>
      </c>
      <c r="I172" s="1" t="s">
        <v>21</v>
      </c>
      <c r="J172">
        <v>5</v>
      </c>
      <c r="K172">
        <v>13320</v>
      </c>
      <c r="L172">
        <v>66600</v>
      </c>
      <c r="M172" s="1" t="s">
        <v>86</v>
      </c>
      <c r="N172" s="1" t="s">
        <v>46</v>
      </c>
      <c r="O172" t="str">
        <f>TEXT(SalesDataset[[#This Row],[Order_Date]],"mmm")</f>
        <v>Oct</v>
      </c>
      <c r="P172" s="1" t="str">
        <f>TEXT(SalesDataset[[#This Row],[Order_Date]],"YYYY")</f>
        <v>2025</v>
      </c>
      <c r="Q172" s="1" t="str">
        <f>_xlfn.TEXTJOIN(" ",TRUE,SalesDataset[[#This Row],[First_Name]],SalesDataset[[#This Row],[Last_Name]])</f>
        <v>Lauren Martinez</v>
      </c>
    </row>
    <row r="173" spans="1:17" x14ac:dyDescent="0.25">
      <c r="A173" s="1" t="s">
        <v>798</v>
      </c>
      <c r="B173" s="2">
        <v>45980</v>
      </c>
      <c r="C173" s="1" t="s">
        <v>396</v>
      </c>
      <c r="D173" s="1" t="s">
        <v>799</v>
      </c>
      <c r="E173" s="1" t="s">
        <v>549</v>
      </c>
      <c r="F173" s="1" t="s">
        <v>398</v>
      </c>
      <c r="G173" s="1" t="s">
        <v>19</v>
      </c>
      <c r="H173" s="1" t="s">
        <v>20</v>
      </c>
      <c r="I173" s="1" t="s">
        <v>21</v>
      </c>
      <c r="J173">
        <v>2</v>
      </c>
      <c r="K173">
        <v>2652</v>
      </c>
      <c r="L173">
        <v>5304</v>
      </c>
      <c r="M173" s="1" t="s">
        <v>22</v>
      </c>
      <c r="N173" s="1" t="s">
        <v>46</v>
      </c>
      <c r="O173" t="str">
        <f>TEXT(SalesDataset[[#This Row],[Order_Date]],"mmm")</f>
        <v>Nov</v>
      </c>
      <c r="P173" s="1" t="str">
        <f>TEXT(SalesDataset[[#This Row],[Order_Date]],"YYYY")</f>
        <v>2025</v>
      </c>
      <c r="Q173" s="1" t="str">
        <f>_xlfn.TEXTJOIN(" ",TRUE,SalesDataset[[#This Row],[First_Name]],SalesDataset[[#This Row],[Last_Name]])</f>
        <v>Anna Wilson</v>
      </c>
    </row>
    <row r="174" spans="1:17" x14ac:dyDescent="0.25">
      <c r="A174" s="1" t="s">
        <v>800</v>
      </c>
      <c r="B174" s="2">
        <v>45994</v>
      </c>
      <c r="C174" s="1" t="s">
        <v>801</v>
      </c>
      <c r="D174" s="1" t="s">
        <v>802</v>
      </c>
      <c r="E174" s="1" t="s">
        <v>803</v>
      </c>
      <c r="F174" s="1" t="s">
        <v>804</v>
      </c>
      <c r="G174" s="1" t="s">
        <v>102</v>
      </c>
      <c r="H174" s="1" t="s">
        <v>62</v>
      </c>
      <c r="I174" s="1" t="s">
        <v>21</v>
      </c>
      <c r="J174">
        <v>1</v>
      </c>
      <c r="K174">
        <v>51122</v>
      </c>
      <c r="L174">
        <v>51122</v>
      </c>
      <c r="M174" s="1" t="s">
        <v>74</v>
      </c>
      <c r="N174" s="1" t="s">
        <v>31</v>
      </c>
      <c r="O174" t="str">
        <f>TEXT(SalesDataset[[#This Row],[Order_Date]],"mmm")</f>
        <v>Dec</v>
      </c>
      <c r="P174" s="1" t="str">
        <f>TEXT(SalesDataset[[#This Row],[Order_Date]],"YYYY")</f>
        <v>2025</v>
      </c>
      <c r="Q174" s="1" t="str">
        <f>_xlfn.TEXTJOIN(" ",TRUE,SalesDataset[[#This Row],[First_Name]],SalesDataset[[#This Row],[Last_Name]])</f>
        <v>Gregg Perez</v>
      </c>
    </row>
    <row r="175" spans="1:17" x14ac:dyDescent="0.25">
      <c r="A175" s="1" t="s">
        <v>805</v>
      </c>
      <c r="B175" s="2">
        <v>45916</v>
      </c>
      <c r="C175" s="1" t="s">
        <v>692</v>
      </c>
      <c r="D175" s="1" t="s">
        <v>806</v>
      </c>
      <c r="E175" s="1" t="s">
        <v>55</v>
      </c>
      <c r="F175" s="1" t="s">
        <v>807</v>
      </c>
      <c r="G175" s="1" t="s">
        <v>102</v>
      </c>
      <c r="H175" s="1" t="s">
        <v>20</v>
      </c>
      <c r="I175" s="1" t="s">
        <v>21</v>
      </c>
      <c r="J175">
        <v>3</v>
      </c>
      <c r="K175">
        <v>31432</v>
      </c>
      <c r="L175">
        <v>94296</v>
      </c>
      <c r="M175" s="1" t="s">
        <v>86</v>
      </c>
      <c r="N175" s="1" t="s">
        <v>46</v>
      </c>
      <c r="O175" t="str">
        <f>TEXT(SalesDataset[[#This Row],[Order_Date]],"mmm")</f>
        <v>Sep</v>
      </c>
      <c r="P175" s="1" t="str">
        <f>TEXT(SalesDataset[[#This Row],[Order_Date]],"YYYY")</f>
        <v>2025</v>
      </c>
      <c r="Q175" s="1" t="str">
        <f>_xlfn.TEXTJOIN(" ",TRUE,SalesDataset[[#This Row],[First_Name]],SalesDataset[[#This Row],[Last_Name]])</f>
        <v>Peter Miller</v>
      </c>
    </row>
    <row r="176" spans="1:17" x14ac:dyDescent="0.25">
      <c r="A176" s="1" t="s">
        <v>808</v>
      </c>
      <c r="B176" s="2">
        <v>46113</v>
      </c>
      <c r="C176" s="1" t="s">
        <v>809</v>
      </c>
      <c r="D176" s="1" t="s">
        <v>796</v>
      </c>
      <c r="E176" s="1" t="s">
        <v>810</v>
      </c>
      <c r="F176" s="1" t="s">
        <v>811</v>
      </c>
      <c r="G176" s="1" t="s">
        <v>44</v>
      </c>
      <c r="H176" s="1" t="s">
        <v>62</v>
      </c>
      <c r="I176" s="1" t="s">
        <v>21</v>
      </c>
      <c r="J176">
        <v>1</v>
      </c>
      <c r="K176">
        <v>52766</v>
      </c>
      <c r="L176">
        <v>52766</v>
      </c>
      <c r="M176" s="1" t="s">
        <v>63</v>
      </c>
      <c r="N176" s="1" t="s">
        <v>46</v>
      </c>
      <c r="O176" t="str">
        <f>TEXT(SalesDataset[[#This Row],[Order_Date]],"mmm")</f>
        <v>Apr</v>
      </c>
      <c r="P176" s="1" t="str">
        <f>TEXT(SalesDataset[[#This Row],[Order_Date]],"YYYY")</f>
        <v>2026</v>
      </c>
      <c r="Q176" s="1" t="str">
        <f>_xlfn.TEXTJOIN(" ",TRUE,SalesDataset[[#This Row],[First_Name]],SalesDataset[[#This Row],[Last_Name]])</f>
        <v>Lauren Brennan</v>
      </c>
    </row>
    <row r="177" spans="1:17" x14ac:dyDescent="0.25">
      <c r="A177" s="1" t="s">
        <v>812</v>
      </c>
      <c r="B177" s="2">
        <v>46125</v>
      </c>
      <c r="C177" s="1" t="s">
        <v>94</v>
      </c>
      <c r="D177" s="1" t="s">
        <v>487</v>
      </c>
      <c r="E177" s="1" t="s">
        <v>228</v>
      </c>
      <c r="F177" s="1" t="s">
        <v>813</v>
      </c>
      <c r="G177" s="1" t="s">
        <v>19</v>
      </c>
      <c r="H177" s="1" t="s">
        <v>20</v>
      </c>
      <c r="I177" s="1" t="s">
        <v>21</v>
      </c>
      <c r="J177">
        <v>4</v>
      </c>
      <c r="K177">
        <v>43148</v>
      </c>
      <c r="L177">
        <v>172592</v>
      </c>
      <c r="M177" s="1" t="s">
        <v>22</v>
      </c>
      <c r="N177" s="1" t="s">
        <v>23</v>
      </c>
      <c r="O177" t="str">
        <f>TEXT(SalesDataset[[#This Row],[Order_Date]],"mmm")</f>
        <v>Apr</v>
      </c>
      <c r="P177" s="1" t="str">
        <f>TEXT(SalesDataset[[#This Row],[Order_Date]],"YYYY")</f>
        <v>2026</v>
      </c>
      <c r="Q177" s="1" t="str">
        <f>_xlfn.TEXTJOIN(" ",TRUE,SalesDataset[[#This Row],[First_Name]],SalesDataset[[#This Row],[Last_Name]])</f>
        <v>David Anderson</v>
      </c>
    </row>
    <row r="178" spans="1:17" x14ac:dyDescent="0.25">
      <c r="A178" s="1" t="s">
        <v>814</v>
      </c>
      <c r="B178" s="2">
        <v>46120</v>
      </c>
      <c r="C178" s="1" t="s">
        <v>815</v>
      </c>
      <c r="D178" s="1" t="s">
        <v>816</v>
      </c>
      <c r="E178" s="1" t="s">
        <v>374</v>
      </c>
      <c r="F178" s="1" t="s">
        <v>817</v>
      </c>
      <c r="G178" s="1" t="s">
        <v>44</v>
      </c>
      <c r="H178" s="1" t="s">
        <v>20</v>
      </c>
      <c r="I178" s="1" t="s">
        <v>21</v>
      </c>
      <c r="J178">
        <v>3</v>
      </c>
      <c r="K178">
        <v>63205</v>
      </c>
      <c r="L178">
        <v>189615</v>
      </c>
      <c r="M178" s="1" t="s">
        <v>38</v>
      </c>
      <c r="N178" s="1" t="s">
        <v>31</v>
      </c>
      <c r="O178" t="str">
        <f>TEXT(SalesDataset[[#This Row],[Order_Date]],"mmm")</f>
        <v>Apr</v>
      </c>
      <c r="P178" s="1" t="str">
        <f>TEXT(SalesDataset[[#This Row],[Order_Date]],"YYYY")</f>
        <v>2026</v>
      </c>
      <c r="Q178" s="1" t="str">
        <f>_xlfn.TEXTJOIN(" ",TRUE,SalesDataset[[#This Row],[First_Name]],SalesDataset[[#This Row],[Last_Name]])</f>
        <v>Kathy Martinez</v>
      </c>
    </row>
    <row r="179" spans="1:17" x14ac:dyDescent="0.25">
      <c r="A179" s="1" t="s">
        <v>818</v>
      </c>
      <c r="B179" s="2">
        <v>45849</v>
      </c>
      <c r="C179" s="1" t="s">
        <v>819</v>
      </c>
      <c r="D179" s="1" t="s">
        <v>305</v>
      </c>
      <c r="E179" s="1" t="s">
        <v>416</v>
      </c>
      <c r="F179" s="1" t="s">
        <v>820</v>
      </c>
      <c r="G179" s="1" t="s">
        <v>102</v>
      </c>
      <c r="H179" s="1" t="s">
        <v>80</v>
      </c>
      <c r="I179" s="1" t="s">
        <v>21</v>
      </c>
      <c r="J179">
        <v>1</v>
      </c>
      <c r="K179">
        <v>24357</v>
      </c>
      <c r="L179">
        <v>24357</v>
      </c>
      <c r="M179" s="1" t="s">
        <v>22</v>
      </c>
      <c r="N179" s="1" t="s">
        <v>46</v>
      </c>
      <c r="O179" t="str">
        <f>TEXT(SalesDataset[[#This Row],[Order_Date]],"mmm")</f>
        <v>Jul</v>
      </c>
      <c r="P179" s="1" t="str">
        <f>TEXT(SalesDataset[[#This Row],[Order_Date]],"YYYY")</f>
        <v>2025</v>
      </c>
      <c r="Q179" s="1" t="str">
        <f>_xlfn.TEXTJOIN(" ",TRUE,SalesDataset[[#This Row],[First_Name]],SalesDataset[[#This Row],[Last_Name]])</f>
        <v>Christopher Garcia</v>
      </c>
    </row>
    <row r="180" spans="1:17" x14ac:dyDescent="0.25">
      <c r="A180" s="1" t="s">
        <v>821</v>
      </c>
      <c r="B180" s="2">
        <v>45993</v>
      </c>
      <c r="C180" s="1" t="s">
        <v>304</v>
      </c>
      <c r="D180" s="1" t="s">
        <v>280</v>
      </c>
      <c r="E180" s="1" t="s">
        <v>822</v>
      </c>
      <c r="F180" s="1" t="s">
        <v>823</v>
      </c>
      <c r="G180" s="1" t="s">
        <v>19</v>
      </c>
      <c r="H180" s="1" t="s">
        <v>20</v>
      </c>
      <c r="I180" s="1" t="s">
        <v>21</v>
      </c>
      <c r="J180">
        <v>4</v>
      </c>
      <c r="K180">
        <v>42973</v>
      </c>
      <c r="L180">
        <v>171892</v>
      </c>
      <c r="M180" s="1" t="s">
        <v>63</v>
      </c>
      <c r="N180" s="1" t="s">
        <v>46</v>
      </c>
      <c r="O180" t="str">
        <f>TEXT(SalesDataset[[#This Row],[Order_Date]],"mmm")</f>
        <v>Dec</v>
      </c>
      <c r="P180" s="1" t="str">
        <f>TEXT(SalesDataset[[#This Row],[Order_Date]],"YYYY")</f>
        <v>2025</v>
      </c>
      <c r="Q180" s="1" t="str">
        <f>_xlfn.TEXTJOIN(" ",TRUE,SalesDataset[[#This Row],[First_Name]],SalesDataset[[#This Row],[Last_Name]])</f>
        <v>Nicole Harris</v>
      </c>
    </row>
    <row r="181" spans="1:17" x14ac:dyDescent="0.25">
      <c r="A181" s="1" t="s">
        <v>824</v>
      </c>
      <c r="B181" s="2">
        <v>45996</v>
      </c>
      <c r="C181" s="1" t="s">
        <v>94</v>
      </c>
      <c r="D181" s="1" t="s">
        <v>825</v>
      </c>
      <c r="E181" s="1" t="s">
        <v>416</v>
      </c>
      <c r="F181" s="1" t="s">
        <v>826</v>
      </c>
      <c r="G181" s="1" t="s">
        <v>102</v>
      </c>
      <c r="H181" s="1" t="s">
        <v>80</v>
      </c>
      <c r="I181" s="1" t="s">
        <v>21</v>
      </c>
      <c r="J181">
        <v>5</v>
      </c>
      <c r="K181">
        <v>48784</v>
      </c>
      <c r="L181">
        <v>243920</v>
      </c>
      <c r="M181" s="1" t="s">
        <v>38</v>
      </c>
      <c r="N181" s="1" t="s">
        <v>23</v>
      </c>
      <c r="O181" t="str">
        <f>TEXT(SalesDataset[[#This Row],[Order_Date]],"mmm")</f>
        <v>Dec</v>
      </c>
      <c r="P181" s="1" t="str">
        <f>TEXT(SalesDataset[[#This Row],[Order_Date]],"YYYY")</f>
        <v>2025</v>
      </c>
      <c r="Q181" s="1" t="str">
        <f>_xlfn.TEXTJOIN(" ",TRUE,SalesDataset[[#This Row],[First_Name]],SalesDataset[[#This Row],[Last_Name]])</f>
        <v>Gregory Garcia</v>
      </c>
    </row>
    <row r="182" spans="1:17" x14ac:dyDescent="0.25">
      <c r="A182" s="1" t="s">
        <v>827</v>
      </c>
      <c r="B182" s="2">
        <v>45959</v>
      </c>
      <c r="C182" s="1" t="s">
        <v>828</v>
      </c>
      <c r="D182" s="1" t="s">
        <v>829</v>
      </c>
      <c r="E182" s="1" t="s">
        <v>830</v>
      </c>
      <c r="F182" s="1" t="s">
        <v>831</v>
      </c>
      <c r="G182" s="1" t="s">
        <v>19</v>
      </c>
      <c r="H182" s="1" t="s">
        <v>80</v>
      </c>
      <c r="I182" s="1" t="s">
        <v>21</v>
      </c>
      <c r="J182">
        <v>2</v>
      </c>
      <c r="K182">
        <v>61472</v>
      </c>
      <c r="L182">
        <v>122944</v>
      </c>
      <c r="M182" s="1" t="s">
        <v>74</v>
      </c>
      <c r="N182" s="1" t="s">
        <v>31</v>
      </c>
      <c r="O182" t="str">
        <f>TEXT(SalesDataset[[#This Row],[Order_Date]],"mmm")</f>
        <v>Oct</v>
      </c>
      <c r="P182" s="1" t="str">
        <f>TEXT(SalesDataset[[#This Row],[Order_Date]],"YYYY")</f>
        <v>2025</v>
      </c>
      <c r="Q182" s="1" t="str">
        <f>_xlfn.TEXTJOIN(" ",TRUE,SalesDataset[[#This Row],[First_Name]],SalesDataset[[#This Row],[Last_Name]])</f>
        <v>Nina Everett</v>
      </c>
    </row>
    <row r="183" spans="1:17" x14ac:dyDescent="0.25">
      <c r="A183" s="1" t="s">
        <v>832</v>
      </c>
      <c r="B183" s="2">
        <v>45967</v>
      </c>
      <c r="C183" s="1" t="s">
        <v>833</v>
      </c>
      <c r="D183" s="1" t="s">
        <v>59</v>
      </c>
      <c r="E183" s="1" t="s">
        <v>834</v>
      </c>
      <c r="F183" s="1" t="s">
        <v>835</v>
      </c>
      <c r="G183" s="1" t="s">
        <v>19</v>
      </c>
      <c r="H183" s="1" t="s">
        <v>62</v>
      </c>
      <c r="I183" s="1" t="s">
        <v>21</v>
      </c>
      <c r="J183">
        <v>2</v>
      </c>
      <c r="K183">
        <v>4836</v>
      </c>
      <c r="L183">
        <v>9672</v>
      </c>
      <c r="M183" s="1" t="s">
        <v>38</v>
      </c>
      <c r="N183" s="1" t="s">
        <v>46</v>
      </c>
      <c r="O183" t="str">
        <f>TEXT(SalesDataset[[#This Row],[Order_Date]],"mmm")</f>
        <v>Nov</v>
      </c>
      <c r="P183" s="1" t="str">
        <f>TEXT(SalesDataset[[#This Row],[Order_Date]],"YYYY")</f>
        <v>2025</v>
      </c>
      <c r="Q183" s="1" t="str">
        <f>_xlfn.TEXTJOIN(" ",TRUE,SalesDataset[[#This Row],[First_Name]],SalesDataset[[#This Row],[Last_Name]])</f>
        <v>Jason Roberts</v>
      </c>
    </row>
    <row r="184" spans="1:17" x14ac:dyDescent="0.25">
      <c r="A184" s="1" t="s">
        <v>836</v>
      </c>
      <c r="B184" s="2">
        <v>45905</v>
      </c>
      <c r="C184" s="1" t="s">
        <v>837</v>
      </c>
      <c r="D184" s="1" t="s">
        <v>838</v>
      </c>
      <c r="E184" s="1" t="s">
        <v>95</v>
      </c>
      <c r="F184" s="1" t="s">
        <v>839</v>
      </c>
      <c r="G184" s="1" t="s">
        <v>44</v>
      </c>
      <c r="H184" s="1" t="s">
        <v>92</v>
      </c>
      <c r="I184" s="1" t="s">
        <v>21</v>
      </c>
      <c r="J184">
        <v>2</v>
      </c>
      <c r="K184">
        <v>72401</v>
      </c>
      <c r="L184">
        <v>144802</v>
      </c>
      <c r="M184" s="1" t="s">
        <v>63</v>
      </c>
      <c r="N184" s="1" t="s">
        <v>23</v>
      </c>
      <c r="O184" t="str">
        <f>TEXT(SalesDataset[[#This Row],[Order_Date]],"mmm")</f>
        <v>Sep</v>
      </c>
      <c r="P184" s="1" t="str">
        <f>TEXT(SalesDataset[[#This Row],[Order_Date]],"YYYY")</f>
        <v>2025</v>
      </c>
      <c r="Q184" s="1" t="str">
        <f>_xlfn.TEXTJOIN(" ",TRUE,SalesDataset[[#This Row],[First_Name]],SalesDataset[[#This Row],[Last_Name]])</f>
        <v>Cindy Murray</v>
      </c>
    </row>
    <row r="185" spans="1:17" x14ac:dyDescent="0.25">
      <c r="A185" s="1" t="s">
        <v>840</v>
      </c>
      <c r="B185" s="2">
        <v>45970</v>
      </c>
      <c r="C185" s="1" t="s">
        <v>841</v>
      </c>
      <c r="D185" s="1" t="s">
        <v>521</v>
      </c>
      <c r="E185" s="1" t="s">
        <v>842</v>
      </c>
      <c r="F185" s="1" t="s">
        <v>843</v>
      </c>
      <c r="G185" s="1" t="s">
        <v>19</v>
      </c>
      <c r="H185" s="1" t="s">
        <v>30</v>
      </c>
      <c r="I185" s="1" t="s">
        <v>21</v>
      </c>
      <c r="J185">
        <v>5</v>
      </c>
      <c r="K185">
        <v>18582</v>
      </c>
      <c r="L185">
        <v>92910</v>
      </c>
      <c r="M185" s="1" t="s">
        <v>38</v>
      </c>
      <c r="N185" s="1" t="s">
        <v>31</v>
      </c>
      <c r="O185" t="str">
        <f>TEXT(SalesDataset[[#This Row],[Order_Date]],"mmm")</f>
        <v>Nov</v>
      </c>
      <c r="P185" s="1" t="str">
        <f>TEXT(SalesDataset[[#This Row],[Order_Date]],"YYYY")</f>
        <v>2025</v>
      </c>
      <c r="Q185" s="1" t="str">
        <f>_xlfn.TEXTJOIN(" ",TRUE,SalesDataset[[#This Row],[First_Name]],SalesDataset[[#This Row],[Last_Name]])</f>
        <v>Kevin Whitaker</v>
      </c>
    </row>
    <row r="186" spans="1:17" x14ac:dyDescent="0.25">
      <c r="A186" s="1" t="s">
        <v>844</v>
      </c>
      <c r="B186" s="2">
        <v>45879</v>
      </c>
      <c r="C186" s="1" t="s">
        <v>845</v>
      </c>
      <c r="D186" s="1" t="s">
        <v>392</v>
      </c>
      <c r="E186" s="1" t="s">
        <v>846</v>
      </c>
      <c r="F186" s="1" t="s">
        <v>847</v>
      </c>
      <c r="G186" s="1" t="s">
        <v>44</v>
      </c>
      <c r="H186" s="1" t="s">
        <v>45</v>
      </c>
      <c r="I186" s="1" t="s">
        <v>21</v>
      </c>
      <c r="J186">
        <v>1</v>
      </c>
      <c r="K186">
        <v>33054</v>
      </c>
      <c r="L186">
        <v>33054</v>
      </c>
      <c r="M186" s="1" t="s">
        <v>63</v>
      </c>
      <c r="N186" s="1" t="s">
        <v>31</v>
      </c>
      <c r="O186" t="str">
        <f>TEXT(SalesDataset[[#This Row],[Order_Date]],"mmm")</f>
        <v>Aug</v>
      </c>
      <c r="P186" s="1" t="str">
        <f>TEXT(SalesDataset[[#This Row],[Order_Date]],"YYYY")</f>
        <v>2025</v>
      </c>
      <c r="Q186" s="1" t="str">
        <f>_xlfn.TEXTJOIN(" ",TRUE,SalesDataset[[#This Row],[First_Name]],SalesDataset[[#This Row],[Last_Name]])</f>
        <v>Keith Mason</v>
      </c>
    </row>
    <row r="187" spans="1:17" x14ac:dyDescent="0.25">
      <c r="A187" s="1" t="s">
        <v>848</v>
      </c>
      <c r="B187" s="2">
        <v>45900</v>
      </c>
      <c r="C187" s="1" t="s">
        <v>849</v>
      </c>
      <c r="D187" s="1" t="s">
        <v>850</v>
      </c>
      <c r="E187" s="1" t="s">
        <v>851</v>
      </c>
      <c r="F187" s="1" t="s">
        <v>852</v>
      </c>
      <c r="G187" s="1" t="s">
        <v>102</v>
      </c>
      <c r="H187" s="1" t="s">
        <v>62</v>
      </c>
      <c r="I187" s="1" t="s">
        <v>21</v>
      </c>
      <c r="J187">
        <v>3</v>
      </c>
      <c r="K187">
        <v>71217</v>
      </c>
      <c r="L187">
        <v>213651</v>
      </c>
      <c r="M187" s="1" t="s">
        <v>63</v>
      </c>
      <c r="N187" s="1" t="s">
        <v>46</v>
      </c>
      <c r="O187" t="str">
        <f>TEXT(SalesDataset[[#This Row],[Order_Date]],"mmm")</f>
        <v>Aug</v>
      </c>
      <c r="P187" s="1" t="str">
        <f>TEXT(SalesDataset[[#This Row],[Order_Date]],"YYYY")</f>
        <v>2025</v>
      </c>
      <c r="Q187" s="1" t="str">
        <f>_xlfn.TEXTJOIN(" ",TRUE,SalesDataset[[#This Row],[First_Name]],SalesDataset[[#This Row],[Last_Name]])</f>
        <v>Emily Adams</v>
      </c>
    </row>
    <row r="188" spans="1:17" x14ac:dyDescent="0.25">
      <c r="A188" s="1" t="s">
        <v>853</v>
      </c>
      <c r="B188" s="2">
        <v>46133</v>
      </c>
      <c r="C188" s="1" t="s">
        <v>854</v>
      </c>
      <c r="D188" s="1" t="s">
        <v>855</v>
      </c>
      <c r="E188" s="1" t="s">
        <v>856</v>
      </c>
      <c r="F188" s="1" t="s">
        <v>857</v>
      </c>
      <c r="G188" s="1" t="s">
        <v>19</v>
      </c>
      <c r="H188" s="1" t="s">
        <v>30</v>
      </c>
      <c r="I188" s="1" t="s">
        <v>21</v>
      </c>
      <c r="J188">
        <v>3</v>
      </c>
      <c r="K188">
        <v>22090</v>
      </c>
      <c r="L188">
        <v>66270</v>
      </c>
      <c r="M188" s="1" t="s">
        <v>86</v>
      </c>
      <c r="N188" s="1" t="s">
        <v>46</v>
      </c>
      <c r="O188" t="str">
        <f>TEXT(SalesDataset[[#This Row],[Order_Date]],"mmm")</f>
        <v>Apr</v>
      </c>
      <c r="P188" s="1" t="str">
        <f>TEXT(SalesDataset[[#This Row],[Order_Date]],"YYYY")</f>
        <v>2026</v>
      </c>
      <c r="Q188" s="1" t="str">
        <f>_xlfn.TEXTJOIN(" ",TRUE,SalesDataset[[#This Row],[First_Name]],SalesDataset[[#This Row],[Last_Name]])</f>
        <v>Steven Olsen</v>
      </c>
    </row>
    <row r="189" spans="1:17" x14ac:dyDescent="0.25">
      <c r="A189" s="1" t="s">
        <v>858</v>
      </c>
      <c r="B189" s="2">
        <v>46114</v>
      </c>
      <c r="C189" s="1" t="s">
        <v>114</v>
      </c>
      <c r="D189" s="1" t="s">
        <v>859</v>
      </c>
      <c r="E189" s="1" t="s">
        <v>860</v>
      </c>
      <c r="F189" s="1" t="s">
        <v>861</v>
      </c>
      <c r="G189" s="1" t="s">
        <v>29</v>
      </c>
      <c r="H189" s="1" t="s">
        <v>62</v>
      </c>
      <c r="I189" s="1" t="s">
        <v>21</v>
      </c>
      <c r="J189">
        <v>4</v>
      </c>
      <c r="K189">
        <v>73595</v>
      </c>
      <c r="L189">
        <v>294380</v>
      </c>
      <c r="M189" s="1" t="s">
        <v>22</v>
      </c>
      <c r="N189" s="1" t="s">
        <v>23</v>
      </c>
      <c r="O189" t="str">
        <f>TEXT(SalesDataset[[#This Row],[Order_Date]],"mmm")</f>
        <v>Apr</v>
      </c>
      <c r="P189" s="1" t="str">
        <f>TEXT(SalesDataset[[#This Row],[Order_Date]],"YYYY")</f>
        <v>2026</v>
      </c>
      <c r="Q189" s="1" t="str">
        <f>_xlfn.TEXTJOIN(" ",TRUE,SalesDataset[[#This Row],[First_Name]],SalesDataset[[#This Row],[Last_Name]])</f>
        <v>John Allison</v>
      </c>
    </row>
    <row r="190" spans="1:17" x14ac:dyDescent="0.25">
      <c r="A190" s="1" t="s">
        <v>862</v>
      </c>
      <c r="B190" s="2">
        <v>45855</v>
      </c>
      <c r="C190" s="1" t="s">
        <v>863</v>
      </c>
      <c r="D190" s="1" t="s">
        <v>864</v>
      </c>
      <c r="E190" s="1" t="s">
        <v>374</v>
      </c>
      <c r="F190" s="1" t="s">
        <v>865</v>
      </c>
      <c r="G190" s="1" t="s">
        <v>29</v>
      </c>
      <c r="H190" s="1" t="s">
        <v>62</v>
      </c>
      <c r="I190" s="1" t="s">
        <v>21</v>
      </c>
      <c r="J190">
        <v>1</v>
      </c>
      <c r="K190">
        <v>8272</v>
      </c>
      <c r="L190">
        <v>8272</v>
      </c>
      <c r="M190" s="1" t="s">
        <v>86</v>
      </c>
      <c r="N190" s="1" t="s">
        <v>23</v>
      </c>
      <c r="O190" t="str">
        <f>TEXT(SalesDataset[[#This Row],[Order_Date]],"mmm")</f>
        <v>Jul</v>
      </c>
      <c r="P190" s="1" t="str">
        <f>TEXT(SalesDataset[[#This Row],[Order_Date]],"YYYY")</f>
        <v>2025</v>
      </c>
      <c r="Q190" s="1" t="str">
        <f>_xlfn.TEXTJOIN(" ",TRUE,SalesDataset[[#This Row],[First_Name]],SalesDataset[[#This Row],[Last_Name]])</f>
        <v>Andrea Martinez</v>
      </c>
    </row>
    <row r="191" spans="1:17" x14ac:dyDescent="0.25">
      <c r="A191" s="1" t="s">
        <v>866</v>
      </c>
      <c r="B191" s="2">
        <v>46125</v>
      </c>
      <c r="C191" s="1" t="s">
        <v>867</v>
      </c>
      <c r="D191" s="1" t="s">
        <v>548</v>
      </c>
      <c r="E191" s="1" t="s">
        <v>868</v>
      </c>
      <c r="F191" s="1" t="s">
        <v>869</v>
      </c>
      <c r="G191" s="1" t="s">
        <v>102</v>
      </c>
      <c r="H191" s="1" t="s">
        <v>92</v>
      </c>
      <c r="I191" s="1" t="s">
        <v>21</v>
      </c>
      <c r="J191">
        <v>2</v>
      </c>
      <c r="K191">
        <v>13047</v>
      </c>
      <c r="L191">
        <v>26094</v>
      </c>
      <c r="M191" s="1" t="s">
        <v>74</v>
      </c>
      <c r="N191" s="1" t="s">
        <v>46</v>
      </c>
      <c r="O191" t="str">
        <f>TEXT(SalesDataset[[#This Row],[Order_Date]],"mmm")</f>
        <v>Apr</v>
      </c>
      <c r="P191" s="1" t="str">
        <f>TEXT(SalesDataset[[#This Row],[Order_Date]],"YYYY")</f>
        <v>2026</v>
      </c>
      <c r="Q191" s="1" t="str">
        <f>_xlfn.TEXTJOIN(" ",TRUE,SalesDataset[[#This Row],[First_Name]],SalesDataset[[#This Row],[Last_Name]])</f>
        <v>James Burton</v>
      </c>
    </row>
    <row r="192" spans="1:17" x14ac:dyDescent="0.25">
      <c r="A192" s="1" t="s">
        <v>870</v>
      </c>
      <c r="B192" s="2">
        <v>45804</v>
      </c>
      <c r="C192" s="1" t="s">
        <v>871</v>
      </c>
      <c r="D192" s="1" t="s">
        <v>872</v>
      </c>
      <c r="E192" s="1" t="s">
        <v>860</v>
      </c>
      <c r="F192" s="1" t="s">
        <v>873</v>
      </c>
      <c r="G192" s="1" t="s">
        <v>29</v>
      </c>
      <c r="H192" s="1" t="s">
        <v>45</v>
      </c>
      <c r="I192" s="1" t="s">
        <v>21</v>
      </c>
      <c r="J192">
        <v>2</v>
      </c>
      <c r="K192">
        <v>69903</v>
      </c>
      <c r="L192">
        <v>139806</v>
      </c>
      <c r="M192" s="1" t="s">
        <v>22</v>
      </c>
      <c r="N192" s="1" t="s">
        <v>31</v>
      </c>
      <c r="O192" t="str">
        <f>TEXT(SalesDataset[[#This Row],[Order_Date]],"mmm")</f>
        <v>May</v>
      </c>
      <c r="P192" s="1" t="str">
        <f>TEXT(SalesDataset[[#This Row],[Order_Date]],"YYYY")</f>
        <v>2025</v>
      </c>
      <c r="Q192" s="1" t="str">
        <f>_xlfn.TEXTJOIN(" ",TRUE,SalesDataset[[#This Row],[First_Name]],SalesDataset[[#This Row],[Last_Name]])</f>
        <v>Katrina Allison</v>
      </c>
    </row>
    <row r="193" spans="1:17" x14ac:dyDescent="0.25">
      <c r="A193" s="1" t="s">
        <v>874</v>
      </c>
      <c r="B193" s="2">
        <v>45844</v>
      </c>
      <c r="C193" s="1" t="s">
        <v>875</v>
      </c>
      <c r="D193" s="1" t="s">
        <v>34</v>
      </c>
      <c r="E193" s="1" t="s">
        <v>466</v>
      </c>
      <c r="F193" s="1" t="s">
        <v>876</v>
      </c>
      <c r="G193" s="1" t="s">
        <v>19</v>
      </c>
      <c r="H193" s="1" t="s">
        <v>20</v>
      </c>
      <c r="I193" s="1" t="s">
        <v>21</v>
      </c>
      <c r="J193">
        <v>2</v>
      </c>
      <c r="K193">
        <v>42227</v>
      </c>
      <c r="L193">
        <v>84454</v>
      </c>
      <c r="M193" s="1" t="s">
        <v>63</v>
      </c>
      <c r="N193" s="1" t="s">
        <v>31</v>
      </c>
      <c r="O193" t="str">
        <f>TEXT(SalesDataset[[#This Row],[Order_Date]],"mmm")</f>
        <v>Jul</v>
      </c>
      <c r="P193" s="1" t="str">
        <f>TEXT(SalesDataset[[#This Row],[Order_Date]],"YYYY")</f>
        <v>2025</v>
      </c>
      <c r="Q193" s="1" t="str">
        <f>_xlfn.TEXTJOIN(" ",TRUE,SalesDataset[[#This Row],[First_Name]],SalesDataset[[#This Row],[Last_Name]])</f>
        <v>Jennifer Cook</v>
      </c>
    </row>
    <row r="194" spans="1:17" x14ac:dyDescent="0.25">
      <c r="A194" s="1" t="s">
        <v>877</v>
      </c>
      <c r="B194" s="2">
        <v>45857</v>
      </c>
      <c r="C194" s="1" t="s">
        <v>878</v>
      </c>
      <c r="D194" s="1" t="s">
        <v>879</v>
      </c>
      <c r="E194" s="1" t="s">
        <v>880</v>
      </c>
      <c r="F194" s="1" t="s">
        <v>881</v>
      </c>
      <c r="G194" s="1" t="s">
        <v>102</v>
      </c>
      <c r="H194" s="1" t="s">
        <v>92</v>
      </c>
      <c r="I194" s="1" t="s">
        <v>21</v>
      </c>
      <c r="J194">
        <v>1</v>
      </c>
      <c r="K194">
        <v>33048</v>
      </c>
      <c r="L194">
        <v>33048</v>
      </c>
      <c r="M194" s="1" t="s">
        <v>86</v>
      </c>
      <c r="N194" s="1" t="s">
        <v>46</v>
      </c>
      <c r="O194" t="str">
        <f>TEXT(SalesDataset[[#This Row],[Order_Date]],"mmm")</f>
        <v>Jul</v>
      </c>
      <c r="P194" s="1" t="str">
        <f>TEXT(SalesDataset[[#This Row],[Order_Date]],"YYYY")</f>
        <v>2025</v>
      </c>
      <c r="Q194" s="1" t="str">
        <f>_xlfn.TEXTJOIN(" ",TRUE,SalesDataset[[#This Row],[First_Name]],SalesDataset[[#This Row],[Last_Name]])</f>
        <v>Dawn Cox</v>
      </c>
    </row>
    <row r="195" spans="1:17" x14ac:dyDescent="0.25">
      <c r="A195" s="1" t="s">
        <v>882</v>
      </c>
      <c r="B195" s="2">
        <v>46035</v>
      </c>
      <c r="C195" s="1" t="s">
        <v>883</v>
      </c>
      <c r="D195" s="1" t="s">
        <v>884</v>
      </c>
      <c r="E195" s="1" t="s">
        <v>885</v>
      </c>
      <c r="F195" s="1" t="s">
        <v>886</v>
      </c>
      <c r="G195" s="1" t="s">
        <v>29</v>
      </c>
      <c r="H195" s="1" t="s">
        <v>20</v>
      </c>
      <c r="I195" s="1" t="s">
        <v>21</v>
      </c>
      <c r="J195">
        <v>3</v>
      </c>
      <c r="K195">
        <v>20309</v>
      </c>
      <c r="L195">
        <v>60927</v>
      </c>
      <c r="M195" s="1" t="s">
        <v>74</v>
      </c>
      <c r="N195" s="1" t="s">
        <v>46</v>
      </c>
      <c r="O195" t="str">
        <f>TEXT(SalesDataset[[#This Row],[Order_Date]],"mmm")</f>
        <v>Jan</v>
      </c>
      <c r="P195" s="1" t="str">
        <f>TEXT(SalesDataset[[#This Row],[Order_Date]],"YYYY")</f>
        <v>2026</v>
      </c>
      <c r="Q195" s="1" t="str">
        <f>_xlfn.TEXTJOIN(" ",TRUE,SalesDataset[[#This Row],[First_Name]],SalesDataset[[#This Row],[Last_Name]])</f>
        <v>Lori Kirby</v>
      </c>
    </row>
    <row r="196" spans="1:17" x14ac:dyDescent="0.25">
      <c r="A196" s="1" t="s">
        <v>887</v>
      </c>
      <c r="B196" s="2">
        <v>45934</v>
      </c>
      <c r="C196" s="1" t="s">
        <v>888</v>
      </c>
      <c r="D196" s="1" t="s">
        <v>775</v>
      </c>
      <c r="E196" s="1" t="s">
        <v>889</v>
      </c>
      <c r="F196" s="1" t="s">
        <v>604</v>
      </c>
      <c r="G196" s="1" t="s">
        <v>102</v>
      </c>
      <c r="H196" s="1" t="s">
        <v>80</v>
      </c>
      <c r="I196" s="1" t="s">
        <v>21</v>
      </c>
      <c r="J196">
        <v>2</v>
      </c>
      <c r="K196">
        <v>19645</v>
      </c>
      <c r="L196">
        <v>39290</v>
      </c>
      <c r="M196" s="1" t="s">
        <v>22</v>
      </c>
      <c r="N196" s="1" t="s">
        <v>31</v>
      </c>
      <c r="O196" t="str">
        <f>TEXT(SalesDataset[[#This Row],[Order_Date]],"mmm")</f>
        <v>Oct</v>
      </c>
      <c r="P196" s="1" t="str">
        <f>TEXT(SalesDataset[[#This Row],[Order_Date]],"YYYY")</f>
        <v>2025</v>
      </c>
      <c r="Q196" s="1" t="str">
        <f>_xlfn.TEXTJOIN(" ",TRUE,SalesDataset[[#This Row],[First_Name]],SalesDataset[[#This Row],[Last_Name]])</f>
        <v>Elizabeth Summers</v>
      </c>
    </row>
    <row r="197" spans="1:17" x14ac:dyDescent="0.25">
      <c r="A197" s="1" t="s">
        <v>890</v>
      </c>
      <c r="B197" s="2">
        <v>45809</v>
      </c>
      <c r="C197" s="1" t="s">
        <v>863</v>
      </c>
      <c r="D197" s="1" t="s">
        <v>77</v>
      </c>
      <c r="E197" s="1" t="s">
        <v>50</v>
      </c>
      <c r="F197" s="1" t="s">
        <v>891</v>
      </c>
      <c r="G197" s="1" t="s">
        <v>19</v>
      </c>
      <c r="H197" s="1" t="s">
        <v>37</v>
      </c>
      <c r="I197" s="1" t="s">
        <v>21</v>
      </c>
      <c r="J197">
        <v>3</v>
      </c>
      <c r="K197">
        <v>24991</v>
      </c>
      <c r="L197">
        <v>74973</v>
      </c>
      <c r="M197" s="1" t="s">
        <v>22</v>
      </c>
      <c r="N197" s="1" t="s">
        <v>23</v>
      </c>
      <c r="O197" t="str">
        <f>TEXT(SalesDataset[[#This Row],[Order_Date]],"mmm")</f>
        <v>Jun</v>
      </c>
      <c r="P197" s="1" t="str">
        <f>TEXT(SalesDataset[[#This Row],[Order_Date]],"YYYY")</f>
        <v>2025</v>
      </c>
      <c r="Q197" s="1" t="str">
        <f>_xlfn.TEXTJOIN(" ",TRUE,SalesDataset[[#This Row],[First_Name]],SalesDataset[[#This Row],[Last_Name]])</f>
        <v>Mark Peterson</v>
      </c>
    </row>
    <row r="198" spans="1:17" x14ac:dyDescent="0.25">
      <c r="A198" s="1" t="s">
        <v>892</v>
      </c>
      <c r="B198" s="2">
        <v>45908</v>
      </c>
      <c r="C198" s="1" t="s">
        <v>893</v>
      </c>
      <c r="D198" s="1" t="s">
        <v>894</v>
      </c>
      <c r="E198" s="1" t="s">
        <v>895</v>
      </c>
      <c r="F198" s="1" t="s">
        <v>896</v>
      </c>
      <c r="G198" s="1" t="s">
        <v>102</v>
      </c>
      <c r="H198" s="1" t="s">
        <v>37</v>
      </c>
      <c r="I198" s="1" t="s">
        <v>21</v>
      </c>
      <c r="J198">
        <v>1</v>
      </c>
      <c r="K198">
        <v>19769</v>
      </c>
      <c r="L198">
        <v>19769</v>
      </c>
      <c r="M198" s="1" t="s">
        <v>38</v>
      </c>
      <c r="N198" s="1" t="s">
        <v>23</v>
      </c>
      <c r="O198" t="str">
        <f>TEXT(SalesDataset[[#This Row],[Order_Date]],"mmm")</f>
        <v>Sep</v>
      </c>
      <c r="P198" s="1" t="str">
        <f>TEXT(SalesDataset[[#This Row],[Order_Date]],"YYYY")</f>
        <v>2025</v>
      </c>
      <c r="Q198" s="1" t="str">
        <f>_xlfn.TEXTJOIN(" ",TRUE,SalesDataset[[#This Row],[First_Name]],SalesDataset[[#This Row],[Last_Name]])</f>
        <v>Jonathan Cole</v>
      </c>
    </row>
    <row r="199" spans="1:17" x14ac:dyDescent="0.25">
      <c r="A199" s="1" t="s">
        <v>897</v>
      </c>
      <c r="B199" s="2">
        <v>45812</v>
      </c>
      <c r="C199" s="1" t="s">
        <v>898</v>
      </c>
      <c r="D199" s="1" t="s">
        <v>280</v>
      </c>
      <c r="E199" s="1" t="s">
        <v>131</v>
      </c>
      <c r="F199" s="1" t="s">
        <v>899</v>
      </c>
      <c r="G199" s="1" t="s">
        <v>19</v>
      </c>
      <c r="H199" s="1" t="s">
        <v>62</v>
      </c>
      <c r="I199" s="1" t="s">
        <v>21</v>
      </c>
      <c r="J199">
        <v>4</v>
      </c>
      <c r="K199">
        <v>9983</v>
      </c>
      <c r="L199">
        <v>39932</v>
      </c>
      <c r="M199" s="1" t="s">
        <v>63</v>
      </c>
      <c r="N199" s="1" t="s">
        <v>23</v>
      </c>
      <c r="O199" t="str">
        <f>TEXT(SalesDataset[[#This Row],[Order_Date]],"mmm")</f>
        <v>Jun</v>
      </c>
      <c r="P199" s="1" t="str">
        <f>TEXT(SalesDataset[[#This Row],[Order_Date]],"YYYY")</f>
        <v>2025</v>
      </c>
      <c r="Q199" s="1" t="str">
        <f>_xlfn.TEXTJOIN(" ",TRUE,SalesDataset[[#This Row],[First_Name]],SalesDataset[[#This Row],[Last_Name]])</f>
        <v>Nicole Smith</v>
      </c>
    </row>
    <row r="200" spans="1:17" x14ac:dyDescent="0.25">
      <c r="A200" s="1" t="s">
        <v>900</v>
      </c>
      <c r="B200" s="2">
        <v>45784</v>
      </c>
      <c r="C200" s="1" t="s">
        <v>901</v>
      </c>
      <c r="D200" s="1" t="s">
        <v>902</v>
      </c>
      <c r="E200" s="1" t="s">
        <v>903</v>
      </c>
      <c r="F200" s="1" t="s">
        <v>904</v>
      </c>
      <c r="G200" s="1" t="s">
        <v>44</v>
      </c>
      <c r="H200" s="1" t="s">
        <v>92</v>
      </c>
      <c r="I200" s="1" t="s">
        <v>21</v>
      </c>
      <c r="J200">
        <v>4</v>
      </c>
      <c r="K200">
        <v>56348</v>
      </c>
      <c r="L200">
        <v>225392</v>
      </c>
      <c r="M200" s="1" t="s">
        <v>74</v>
      </c>
      <c r="N200" s="1" t="s">
        <v>46</v>
      </c>
      <c r="O200" t="str">
        <f>TEXT(SalesDataset[[#This Row],[Order_Date]],"mmm")</f>
        <v>May</v>
      </c>
      <c r="P200" s="1" t="str">
        <f>TEXT(SalesDataset[[#This Row],[Order_Date]],"YYYY")</f>
        <v>2025</v>
      </c>
      <c r="Q200" s="1" t="str">
        <f>_xlfn.TEXTJOIN(" ",TRUE,SalesDataset[[#This Row],[First_Name]],SalesDataset[[#This Row],[Last_Name]])</f>
        <v>Randy Wagner</v>
      </c>
    </row>
    <row r="201" spans="1:17" x14ac:dyDescent="0.25">
      <c r="A201" s="1" t="s">
        <v>905</v>
      </c>
      <c r="B201" s="2">
        <v>45791</v>
      </c>
      <c r="C201" s="1" t="s">
        <v>906</v>
      </c>
      <c r="D201" s="1" t="s">
        <v>907</v>
      </c>
      <c r="E201" s="1" t="s">
        <v>908</v>
      </c>
      <c r="F201" s="1" t="s">
        <v>909</v>
      </c>
      <c r="G201" s="1" t="s">
        <v>102</v>
      </c>
      <c r="H201" s="1" t="s">
        <v>45</v>
      </c>
      <c r="I201" s="1" t="s">
        <v>21</v>
      </c>
      <c r="J201">
        <v>3</v>
      </c>
      <c r="K201">
        <v>64454</v>
      </c>
      <c r="L201">
        <v>193362</v>
      </c>
      <c r="M201" s="1" t="s">
        <v>22</v>
      </c>
      <c r="N201" s="1" t="s">
        <v>46</v>
      </c>
      <c r="O201" t="str">
        <f>TEXT(SalesDataset[[#This Row],[Order_Date]],"mmm")</f>
        <v>May</v>
      </c>
      <c r="P201" s="1" t="str">
        <f>TEXT(SalesDataset[[#This Row],[Order_Date]],"YYYY")</f>
        <v>2025</v>
      </c>
      <c r="Q201" s="1" t="str">
        <f>_xlfn.TEXTJOIN(" ",TRUE,SalesDataset[[#This Row],[First_Name]],SalesDataset[[#This Row],[Last_Name]])</f>
        <v>Patricia Flores</v>
      </c>
    </row>
    <row r="202" spans="1:17" x14ac:dyDescent="0.25">
      <c r="A202" s="1" t="s">
        <v>910</v>
      </c>
      <c r="B202" s="2">
        <v>46067</v>
      </c>
      <c r="C202" s="1" t="s">
        <v>911</v>
      </c>
      <c r="D202" s="1" t="s">
        <v>305</v>
      </c>
      <c r="E202" s="1" t="s">
        <v>912</v>
      </c>
      <c r="F202" s="1" t="s">
        <v>913</v>
      </c>
      <c r="G202" s="1" t="s">
        <v>19</v>
      </c>
      <c r="H202" s="1" t="s">
        <v>20</v>
      </c>
      <c r="I202" s="1" t="s">
        <v>21</v>
      </c>
      <c r="J202">
        <v>2</v>
      </c>
      <c r="K202">
        <v>21304</v>
      </c>
      <c r="L202">
        <v>42608</v>
      </c>
      <c r="M202" s="1" t="s">
        <v>86</v>
      </c>
      <c r="N202" s="1" t="s">
        <v>23</v>
      </c>
      <c r="O202" t="str">
        <f>TEXT(SalesDataset[[#This Row],[Order_Date]],"mmm")</f>
        <v>Feb</v>
      </c>
      <c r="P202" s="1" t="str">
        <f>TEXT(SalesDataset[[#This Row],[Order_Date]],"YYYY")</f>
        <v>2026</v>
      </c>
      <c r="Q202" s="1" t="str">
        <f>_xlfn.TEXTJOIN(" ",TRUE,SalesDataset[[#This Row],[First_Name]],SalesDataset[[#This Row],[Last_Name]])</f>
        <v>Christopher Morales</v>
      </c>
    </row>
    <row r="203" spans="1:17" x14ac:dyDescent="0.25">
      <c r="A203" s="1" t="s">
        <v>914</v>
      </c>
      <c r="B203" s="2">
        <v>45856</v>
      </c>
      <c r="C203" s="1" t="s">
        <v>915</v>
      </c>
      <c r="D203" s="1" t="s">
        <v>642</v>
      </c>
      <c r="E203" s="1" t="s">
        <v>55</v>
      </c>
      <c r="F203" s="1" t="s">
        <v>916</v>
      </c>
      <c r="G203" s="1" t="s">
        <v>102</v>
      </c>
      <c r="H203" s="1" t="s">
        <v>45</v>
      </c>
      <c r="I203" s="1" t="s">
        <v>21</v>
      </c>
      <c r="J203">
        <v>3</v>
      </c>
      <c r="K203">
        <v>37836</v>
      </c>
      <c r="L203">
        <v>113508</v>
      </c>
      <c r="M203" s="1" t="s">
        <v>22</v>
      </c>
      <c r="N203" s="1" t="s">
        <v>23</v>
      </c>
      <c r="O203" t="str">
        <f>TEXT(SalesDataset[[#This Row],[Order_Date]],"mmm")</f>
        <v>Jul</v>
      </c>
      <c r="P203" s="1" t="str">
        <f>TEXT(SalesDataset[[#This Row],[Order_Date]],"YYYY")</f>
        <v>2025</v>
      </c>
      <c r="Q203" s="1" t="str">
        <f>_xlfn.TEXTJOIN(" ",TRUE,SalesDataset[[#This Row],[First_Name]],SalesDataset[[#This Row],[Last_Name]])</f>
        <v>Andrew Miller</v>
      </c>
    </row>
    <row r="204" spans="1:17" x14ac:dyDescent="0.25">
      <c r="A204" s="1" t="s">
        <v>917</v>
      </c>
      <c r="B204" s="2">
        <v>45897</v>
      </c>
      <c r="C204" s="1" t="s">
        <v>918</v>
      </c>
      <c r="D204" s="1" t="s">
        <v>919</v>
      </c>
      <c r="E204" s="1" t="s">
        <v>920</v>
      </c>
      <c r="F204" s="1" t="s">
        <v>921</v>
      </c>
      <c r="G204" s="1" t="s">
        <v>44</v>
      </c>
      <c r="H204" s="1" t="s">
        <v>62</v>
      </c>
      <c r="I204" s="1" t="s">
        <v>21</v>
      </c>
      <c r="J204">
        <v>4</v>
      </c>
      <c r="K204">
        <v>43948</v>
      </c>
      <c r="L204">
        <v>175792</v>
      </c>
      <c r="M204" s="1" t="s">
        <v>63</v>
      </c>
      <c r="N204" s="1" t="s">
        <v>31</v>
      </c>
      <c r="O204" t="str">
        <f>TEXT(SalesDataset[[#This Row],[Order_Date]],"mmm")</f>
        <v>Aug</v>
      </c>
      <c r="P204" s="1" t="str">
        <f>TEXT(SalesDataset[[#This Row],[Order_Date]],"YYYY")</f>
        <v>2025</v>
      </c>
      <c r="Q204" s="1" t="str">
        <f>_xlfn.TEXTJOIN(" ",TRUE,SalesDataset[[#This Row],[First_Name]],SalesDataset[[#This Row],[Last_Name]])</f>
        <v>Dennis Bird</v>
      </c>
    </row>
    <row r="205" spans="1:17" x14ac:dyDescent="0.25">
      <c r="A205" s="1" t="s">
        <v>922</v>
      </c>
      <c r="B205" s="2">
        <v>45872</v>
      </c>
      <c r="C205" s="1" t="s">
        <v>923</v>
      </c>
      <c r="D205" s="1" t="s">
        <v>924</v>
      </c>
      <c r="E205" s="1" t="s">
        <v>597</v>
      </c>
      <c r="F205" s="1" t="s">
        <v>925</v>
      </c>
      <c r="G205" s="1" t="s">
        <v>29</v>
      </c>
      <c r="H205" s="1" t="s">
        <v>62</v>
      </c>
      <c r="I205" s="1" t="s">
        <v>21</v>
      </c>
      <c r="J205">
        <v>3</v>
      </c>
      <c r="K205">
        <v>41861</v>
      </c>
      <c r="L205">
        <v>125583</v>
      </c>
      <c r="M205" s="1" t="s">
        <v>63</v>
      </c>
      <c r="N205" s="1" t="s">
        <v>31</v>
      </c>
      <c r="O205" t="str">
        <f>TEXT(SalesDataset[[#This Row],[Order_Date]],"mmm")</f>
        <v>Aug</v>
      </c>
      <c r="P205" s="1" t="str">
        <f>TEXT(SalesDataset[[#This Row],[Order_Date]],"YYYY")</f>
        <v>2025</v>
      </c>
      <c r="Q205" s="1" t="str">
        <f>_xlfn.TEXTJOIN(" ",TRUE,SalesDataset[[#This Row],[First_Name]],SalesDataset[[#This Row],[Last_Name]])</f>
        <v>Janet Cooper</v>
      </c>
    </row>
    <row r="206" spans="1:17" x14ac:dyDescent="0.25">
      <c r="A206" s="1" t="s">
        <v>926</v>
      </c>
      <c r="B206" s="2">
        <v>46113</v>
      </c>
      <c r="C206" s="1" t="s">
        <v>927</v>
      </c>
      <c r="D206" s="1" t="s">
        <v>401</v>
      </c>
      <c r="E206" s="1" t="s">
        <v>928</v>
      </c>
      <c r="F206" s="1" t="s">
        <v>929</v>
      </c>
      <c r="G206" s="1" t="s">
        <v>19</v>
      </c>
      <c r="H206" s="1" t="s">
        <v>62</v>
      </c>
      <c r="I206" s="1" t="s">
        <v>21</v>
      </c>
      <c r="J206">
        <v>4</v>
      </c>
      <c r="K206">
        <v>22396</v>
      </c>
      <c r="L206">
        <v>89584</v>
      </c>
      <c r="M206" s="1" t="s">
        <v>86</v>
      </c>
      <c r="N206" s="1" t="s">
        <v>31</v>
      </c>
      <c r="O206" t="str">
        <f>TEXT(SalesDataset[[#This Row],[Order_Date]],"mmm")</f>
        <v>Apr</v>
      </c>
      <c r="P206" s="1" t="str">
        <f>TEXT(SalesDataset[[#This Row],[Order_Date]],"YYYY")</f>
        <v>2026</v>
      </c>
      <c r="Q206" s="1" t="str">
        <f>_xlfn.TEXTJOIN(" ",TRUE,SalesDataset[[#This Row],[First_Name]],SalesDataset[[#This Row],[Last_Name]])</f>
        <v>Scott Petersen</v>
      </c>
    </row>
    <row r="207" spans="1:17" x14ac:dyDescent="0.25">
      <c r="A207" s="1" t="s">
        <v>930</v>
      </c>
      <c r="B207" s="2">
        <v>45859</v>
      </c>
      <c r="C207" s="1" t="s">
        <v>931</v>
      </c>
      <c r="D207" s="1" t="s">
        <v>606</v>
      </c>
      <c r="E207" s="1" t="s">
        <v>932</v>
      </c>
      <c r="F207" s="1" t="s">
        <v>933</v>
      </c>
      <c r="G207" s="1" t="s">
        <v>102</v>
      </c>
      <c r="H207" s="1" t="s">
        <v>30</v>
      </c>
      <c r="I207" s="1" t="s">
        <v>21</v>
      </c>
      <c r="J207">
        <v>4</v>
      </c>
      <c r="K207">
        <v>25324</v>
      </c>
      <c r="L207">
        <v>101296</v>
      </c>
      <c r="M207" s="1" t="s">
        <v>63</v>
      </c>
      <c r="N207" s="1" t="s">
        <v>31</v>
      </c>
      <c r="O207" t="str">
        <f>TEXT(SalesDataset[[#This Row],[Order_Date]],"mmm")</f>
        <v>Jul</v>
      </c>
      <c r="P207" s="1" t="str">
        <f>TEXT(SalesDataset[[#This Row],[Order_Date]],"YYYY")</f>
        <v>2025</v>
      </c>
      <c r="Q207" s="1" t="str">
        <f>_xlfn.TEXTJOIN(" ",TRUE,SalesDataset[[#This Row],[First_Name]],SalesDataset[[#This Row],[Last_Name]])</f>
        <v>Joshua Kennedy</v>
      </c>
    </row>
    <row r="208" spans="1:17" x14ac:dyDescent="0.25">
      <c r="A208" s="1" t="s">
        <v>934</v>
      </c>
      <c r="B208" s="2">
        <v>45947</v>
      </c>
      <c r="C208" s="1" t="s">
        <v>293</v>
      </c>
      <c r="D208" s="1" t="s">
        <v>77</v>
      </c>
      <c r="E208" s="1" t="s">
        <v>935</v>
      </c>
      <c r="F208" s="1" t="s">
        <v>936</v>
      </c>
      <c r="G208" s="1" t="s">
        <v>19</v>
      </c>
      <c r="H208" s="1" t="s">
        <v>45</v>
      </c>
      <c r="I208" s="1" t="s">
        <v>21</v>
      </c>
      <c r="J208">
        <v>3</v>
      </c>
      <c r="K208">
        <v>2718</v>
      </c>
      <c r="L208">
        <v>8154</v>
      </c>
      <c r="M208" s="1" t="s">
        <v>63</v>
      </c>
      <c r="N208" s="1" t="s">
        <v>46</v>
      </c>
      <c r="O208" t="str">
        <f>TEXT(SalesDataset[[#This Row],[Order_Date]],"mmm")</f>
        <v>Oct</v>
      </c>
      <c r="P208" s="1" t="str">
        <f>TEXT(SalesDataset[[#This Row],[Order_Date]],"YYYY")</f>
        <v>2025</v>
      </c>
      <c r="Q208" s="1" t="str">
        <f>_xlfn.TEXTJOIN(" ",TRUE,SalesDataset[[#This Row],[First_Name]],SalesDataset[[#This Row],[Last_Name]])</f>
        <v>Mark Hardin</v>
      </c>
    </row>
    <row r="209" spans="1:17" x14ac:dyDescent="0.25">
      <c r="A209" s="1" t="s">
        <v>937</v>
      </c>
      <c r="B209" s="2">
        <v>45882</v>
      </c>
      <c r="C209" s="1" t="s">
        <v>938</v>
      </c>
      <c r="D209" s="1" t="s">
        <v>939</v>
      </c>
      <c r="E209" s="1" t="s">
        <v>940</v>
      </c>
      <c r="F209" s="1" t="s">
        <v>941</v>
      </c>
      <c r="G209" s="1" t="s">
        <v>19</v>
      </c>
      <c r="H209" s="1" t="s">
        <v>30</v>
      </c>
      <c r="I209" s="1" t="s">
        <v>21</v>
      </c>
      <c r="J209">
        <v>4</v>
      </c>
      <c r="K209">
        <v>44743</v>
      </c>
      <c r="L209">
        <v>178972</v>
      </c>
      <c r="M209" s="1" t="s">
        <v>63</v>
      </c>
      <c r="N209" s="1" t="s">
        <v>46</v>
      </c>
      <c r="O209" t="str">
        <f>TEXT(SalesDataset[[#This Row],[Order_Date]],"mmm")</f>
        <v>Aug</v>
      </c>
      <c r="P209" s="1" t="str">
        <f>TEXT(SalesDataset[[#This Row],[Order_Date]],"YYYY")</f>
        <v>2025</v>
      </c>
      <c r="Q209" s="1" t="str">
        <f>_xlfn.TEXTJOIN(" ",TRUE,SalesDataset[[#This Row],[First_Name]],SalesDataset[[#This Row],[Last_Name]])</f>
        <v>Katie Brown</v>
      </c>
    </row>
    <row r="210" spans="1:17" x14ac:dyDescent="0.25">
      <c r="A210" s="1" t="s">
        <v>942</v>
      </c>
      <c r="B210" s="2">
        <v>46037</v>
      </c>
      <c r="C210" s="1" t="s">
        <v>943</v>
      </c>
      <c r="D210" s="1" t="s">
        <v>944</v>
      </c>
      <c r="E210" s="1" t="s">
        <v>945</v>
      </c>
      <c r="F210" s="1" t="s">
        <v>946</v>
      </c>
      <c r="G210" s="1" t="s">
        <v>44</v>
      </c>
      <c r="H210" s="1" t="s">
        <v>45</v>
      </c>
      <c r="I210" s="1" t="s">
        <v>21</v>
      </c>
      <c r="J210">
        <v>3</v>
      </c>
      <c r="K210">
        <v>61930</v>
      </c>
      <c r="L210">
        <v>185790</v>
      </c>
      <c r="M210" s="1" t="s">
        <v>22</v>
      </c>
      <c r="N210" s="1" t="s">
        <v>46</v>
      </c>
      <c r="O210" t="str">
        <f>TEXT(SalesDataset[[#This Row],[Order_Date]],"mmm")</f>
        <v>Jan</v>
      </c>
      <c r="P210" s="1" t="str">
        <f>TEXT(SalesDataset[[#This Row],[Order_Date]],"YYYY")</f>
        <v>2026</v>
      </c>
      <c r="Q210" s="1" t="str">
        <f>_xlfn.TEXTJOIN(" ",TRUE,SalesDataset[[#This Row],[First_Name]],SalesDataset[[#This Row],[Last_Name]])</f>
        <v>Jose Watkins DVM</v>
      </c>
    </row>
    <row r="211" spans="1:17" x14ac:dyDescent="0.25">
      <c r="A211" s="1" t="s">
        <v>947</v>
      </c>
      <c r="B211" s="2">
        <v>45929</v>
      </c>
      <c r="C211" s="1" t="s">
        <v>948</v>
      </c>
      <c r="D211" s="1" t="s">
        <v>487</v>
      </c>
      <c r="E211" s="1" t="s">
        <v>949</v>
      </c>
      <c r="F211" s="1" t="s">
        <v>950</v>
      </c>
      <c r="G211" s="1" t="s">
        <v>29</v>
      </c>
      <c r="H211" s="1" t="s">
        <v>62</v>
      </c>
      <c r="I211" s="1" t="s">
        <v>21</v>
      </c>
      <c r="J211">
        <v>3</v>
      </c>
      <c r="K211">
        <v>3318</v>
      </c>
      <c r="L211">
        <v>9954</v>
      </c>
      <c r="M211" s="1" t="s">
        <v>74</v>
      </c>
      <c r="N211" s="1" t="s">
        <v>31</v>
      </c>
      <c r="O211" t="str">
        <f>TEXT(SalesDataset[[#This Row],[Order_Date]],"mmm")</f>
        <v>Sep</v>
      </c>
      <c r="P211" s="1" t="str">
        <f>TEXT(SalesDataset[[#This Row],[Order_Date]],"YYYY")</f>
        <v>2025</v>
      </c>
      <c r="Q211" s="1" t="str">
        <f>_xlfn.TEXTJOIN(" ",TRUE,SalesDataset[[#This Row],[First_Name]],SalesDataset[[#This Row],[Last_Name]])</f>
        <v>David Harrison</v>
      </c>
    </row>
    <row r="212" spans="1:17" x14ac:dyDescent="0.25">
      <c r="A212" s="1" t="s">
        <v>951</v>
      </c>
      <c r="B212" s="2">
        <v>46092</v>
      </c>
      <c r="C212" s="1" t="s">
        <v>952</v>
      </c>
      <c r="D212" s="1" t="s">
        <v>378</v>
      </c>
      <c r="E212" s="1" t="s">
        <v>953</v>
      </c>
      <c r="F212" s="1" t="s">
        <v>954</v>
      </c>
      <c r="G212" s="1" t="s">
        <v>29</v>
      </c>
      <c r="H212" s="1" t="s">
        <v>45</v>
      </c>
      <c r="I212" s="1" t="s">
        <v>21</v>
      </c>
      <c r="J212">
        <v>2</v>
      </c>
      <c r="K212">
        <v>39429</v>
      </c>
      <c r="L212">
        <v>78858</v>
      </c>
      <c r="M212" s="1" t="s">
        <v>22</v>
      </c>
      <c r="N212" s="1" t="s">
        <v>46</v>
      </c>
      <c r="O212" t="str">
        <f>TEXT(SalesDataset[[#This Row],[Order_Date]],"mmm")</f>
        <v>Mar</v>
      </c>
      <c r="P212" s="1" t="str">
        <f>TEXT(SalesDataset[[#This Row],[Order_Date]],"YYYY")</f>
        <v>2026</v>
      </c>
      <c r="Q212" s="1" t="str">
        <f>_xlfn.TEXTJOIN(" ",TRUE,SalesDataset[[#This Row],[First_Name]],SalesDataset[[#This Row],[Last_Name]])</f>
        <v>Brian Wang</v>
      </c>
    </row>
    <row r="213" spans="1:17" x14ac:dyDescent="0.25">
      <c r="A213" s="1" t="s">
        <v>955</v>
      </c>
      <c r="B213" s="2">
        <v>45934</v>
      </c>
      <c r="C213" s="1" t="s">
        <v>956</v>
      </c>
      <c r="D213" s="1" t="s">
        <v>269</v>
      </c>
      <c r="E213" s="1" t="s">
        <v>488</v>
      </c>
      <c r="F213" s="1" t="s">
        <v>957</v>
      </c>
      <c r="G213" s="1" t="s">
        <v>44</v>
      </c>
      <c r="H213" s="1" t="s">
        <v>45</v>
      </c>
      <c r="I213" s="1" t="s">
        <v>21</v>
      </c>
      <c r="J213">
        <v>1</v>
      </c>
      <c r="K213">
        <v>53051</v>
      </c>
      <c r="L213">
        <v>53051</v>
      </c>
      <c r="M213" s="1" t="s">
        <v>22</v>
      </c>
      <c r="N213" s="1" t="s">
        <v>31</v>
      </c>
      <c r="O213" t="str">
        <f>TEXT(SalesDataset[[#This Row],[Order_Date]],"mmm")</f>
        <v>Oct</v>
      </c>
      <c r="P213" s="1" t="str">
        <f>TEXT(SalesDataset[[#This Row],[Order_Date]],"YYYY")</f>
        <v>2025</v>
      </c>
      <c r="Q213" s="1" t="str">
        <f>_xlfn.TEXTJOIN(" ",TRUE,SalesDataset[[#This Row],[First_Name]],SalesDataset[[#This Row],[Last_Name]])</f>
        <v>Megan Johnson</v>
      </c>
    </row>
    <row r="214" spans="1:17" x14ac:dyDescent="0.25">
      <c r="A214" s="1" t="s">
        <v>958</v>
      </c>
      <c r="B214" s="2">
        <v>46084</v>
      </c>
      <c r="C214" s="1" t="s">
        <v>959</v>
      </c>
      <c r="D214" s="1" t="s">
        <v>184</v>
      </c>
      <c r="E214" s="1" t="s">
        <v>960</v>
      </c>
      <c r="F214" s="1" t="s">
        <v>961</v>
      </c>
      <c r="G214" s="1" t="s">
        <v>44</v>
      </c>
      <c r="H214" s="1" t="s">
        <v>20</v>
      </c>
      <c r="I214" s="1" t="s">
        <v>21</v>
      </c>
      <c r="J214">
        <v>5</v>
      </c>
      <c r="K214">
        <v>10501</v>
      </c>
      <c r="L214">
        <v>52505</v>
      </c>
      <c r="M214" s="1" t="s">
        <v>38</v>
      </c>
      <c r="N214" s="1" t="s">
        <v>31</v>
      </c>
      <c r="O214" t="str">
        <f>TEXT(SalesDataset[[#This Row],[Order_Date]],"mmm")</f>
        <v>Mar</v>
      </c>
      <c r="P214" s="1" t="str">
        <f>TEXT(SalesDataset[[#This Row],[Order_Date]],"YYYY")</f>
        <v>2026</v>
      </c>
      <c r="Q214" s="1" t="str">
        <f>_xlfn.TEXTJOIN(" ",TRUE,SalesDataset[[#This Row],[First_Name]],SalesDataset[[#This Row],[Last_Name]])</f>
        <v>William Ferguson</v>
      </c>
    </row>
    <row r="215" spans="1:17" x14ac:dyDescent="0.25">
      <c r="A215" s="1" t="s">
        <v>962</v>
      </c>
      <c r="B215" s="2">
        <v>45917</v>
      </c>
      <c r="C215" s="1" t="s">
        <v>633</v>
      </c>
      <c r="D215" s="1" t="s">
        <v>963</v>
      </c>
      <c r="E215" s="1" t="s">
        <v>218</v>
      </c>
      <c r="F215" s="1" t="s">
        <v>964</v>
      </c>
      <c r="G215" s="1" t="s">
        <v>19</v>
      </c>
      <c r="H215" s="1" t="s">
        <v>62</v>
      </c>
      <c r="I215" s="1" t="s">
        <v>21</v>
      </c>
      <c r="J215">
        <v>1</v>
      </c>
      <c r="K215">
        <v>61375</v>
      </c>
      <c r="L215">
        <v>61375</v>
      </c>
      <c r="M215" s="1" t="s">
        <v>22</v>
      </c>
      <c r="N215" s="1" t="s">
        <v>23</v>
      </c>
      <c r="O215" t="str">
        <f>TEXT(SalesDataset[[#This Row],[Order_Date]],"mmm")</f>
        <v>Sep</v>
      </c>
      <c r="P215" s="1" t="str">
        <f>TEXT(SalesDataset[[#This Row],[Order_Date]],"YYYY")</f>
        <v>2025</v>
      </c>
      <c r="Q215" s="1" t="str">
        <f>_xlfn.TEXTJOIN(" ",TRUE,SalesDataset[[#This Row],[First_Name]],SalesDataset[[#This Row],[Last_Name]])</f>
        <v>Travis Prince MD</v>
      </c>
    </row>
    <row r="216" spans="1:17" x14ac:dyDescent="0.25">
      <c r="A216" s="1" t="s">
        <v>965</v>
      </c>
      <c r="B216" s="2">
        <v>46032</v>
      </c>
      <c r="C216" s="1" t="s">
        <v>436</v>
      </c>
      <c r="D216" s="1" t="s">
        <v>49</v>
      </c>
      <c r="E216" s="1" t="s">
        <v>966</v>
      </c>
      <c r="F216" s="1" t="s">
        <v>967</v>
      </c>
      <c r="G216" s="1" t="s">
        <v>29</v>
      </c>
      <c r="H216" s="1" t="s">
        <v>30</v>
      </c>
      <c r="I216" s="1" t="s">
        <v>21</v>
      </c>
      <c r="J216">
        <v>2</v>
      </c>
      <c r="K216">
        <v>34953</v>
      </c>
      <c r="L216">
        <v>69906</v>
      </c>
      <c r="M216" s="1" t="s">
        <v>86</v>
      </c>
      <c r="N216" s="1" t="s">
        <v>46</v>
      </c>
      <c r="O216" t="str">
        <f>TEXT(SalesDataset[[#This Row],[Order_Date]],"mmm")</f>
        <v>Jan</v>
      </c>
      <c r="P216" s="1" t="str">
        <f>TEXT(SalesDataset[[#This Row],[Order_Date]],"YYYY")</f>
        <v>2026</v>
      </c>
      <c r="Q216" s="1" t="str">
        <f>_xlfn.TEXTJOIN(" ",TRUE,SalesDataset[[#This Row],[First_Name]],SalesDataset[[#This Row],[Last_Name]])</f>
        <v>Eric Lowe</v>
      </c>
    </row>
    <row r="217" spans="1:17" x14ac:dyDescent="0.25">
      <c r="A217" s="1" t="s">
        <v>968</v>
      </c>
      <c r="B217" s="2">
        <v>46138</v>
      </c>
      <c r="C217" s="1" t="s">
        <v>969</v>
      </c>
      <c r="D217" s="1" t="s">
        <v>970</v>
      </c>
      <c r="E217" s="1" t="s">
        <v>971</v>
      </c>
      <c r="F217" s="1" t="s">
        <v>972</v>
      </c>
      <c r="G217" s="1" t="s">
        <v>19</v>
      </c>
      <c r="H217" s="1" t="s">
        <v>45</v>
      </c>
      <c r="I217" s="1" t="s">
        <v>21</v>
      </c>
      <c r="J217">
        <v>1</v>
      </c>
      <c r="K217">
        <v>32395</v>
      </c>
      <c r="L217">
        <v>32395</v>
      </c>
      <c r="M217" s="1" t="s">
        <v>63</v>
      </c>
      <c r="N217" s="1" t="s">
        <v>23</v>
      </c>
      <c r="O217" t="str">
        <f>TEXT(SalesDataset[[#This Row],[Order_Date]],"mmm")</f>
        <v>Apr</v>
      </c>
      <c r="P217" s="1" t="str">
        <f>TEXT(SalesDataset[[#This Row],[Order_Date]],"YYYY")</f>
        <v>2026</v>
      </c>
      <c r="Q217" s="1" t="str">
        <f>_xlfn.TEXTJOIN(" ",TRUE,SalesDataset[[#This Row],[First_Name]],SalesDataset[[#This Row],[Last_Name]])</f>
        <v>Rebecca Gibson</v>
      </c>
    </row>
    <row r="218" spans="1:17" x14ac:dyDescent="0.25">
      <c r="A218" s="1" t="s">
        <v>973</v>
      </c>
      <c r="B218" s="2">
        <v>45864</v>
      </c>
      <c r="C218" s="1" t="s">
        <v>974</v>
      </c>
      <c r="D218" s="1" t="s">
        <v>975</v>
      </c>
      <c r="E218" s="1" t="s">
        <v>566</v>
      </c>
      <c r="F218" s="1" t="s">
        <v>976</v>
      </c>
      <c r="G218" s="1" t="s">
        <v>102</v>
      </c>
      <c r="H218" s="1" t="s">
        <v>80</v>
      </c>
      <c r="I218" s="1" t="s">
        <v>21</v>
      </c>
      <c r="J218">
        <v>3</v>
      </c>
      <c r="K218">
        <v>27004</v>
      </c>
      <c r="L218">
        <v>81012</v>
      </c>
      <c r="M218" s="1" t="s">
        <v>74</v>
      </c>
      <c r="N218" s="1" t="s">
        <v>31</v>
      </c>
      <c r="O218" t="str">
        <f>TEXT(SalesDataset[[#This Row],[Order_Date]],"mmm")</f>
        <v>Jul</v>
      </c>
      <c r="P218" s="1" t="str">
        <f>TEXT(SalesDataset[[#This Row],[Order_Date]],"YYYY")</f>
        <v>2025</v>
      </c>
      <c r="Q218" s="1" t="str">
        <f>_xlfn.TEXTJOIN(" ",TRUE,SalesDataset[[#This Row],[First_Name]],SalesDataset[[#This Row],[Last_Name]])</f>
        <v>Kelsey Allen</v>
      </c>
    </row>
    <row r="219" spans="1:17" x14ac:dyDescent="0.25">
      <c r="A219" s="1" t="s">
        <v>977</v>
      </c>
      <c r="B219" s="2">
        <v>46012</v>
      </c>
      <c r="C219" s="1" t="s">
        <v>978</v>
      </c>
      <c r="D219" s="1" t="s">
        <v>734</v>
      </c>
      <c r="E219" s="1" t="s">
        <v>979</v>
      </c>
      <c r="F219" s="1" t="s">
        <v>980</v>
      </c>
      <c r="G219" s="1" t="s">
        <v>102</v>
      </c>
      <c r="H219" s="1" t="s">
        <v>92</v>
      </c>
      <c r="I219" s="1" t="s">
        <v>21</v>
      </c>
      <c r="J219">
        <v>5</v>
      </c>
      <c r="K219">
        <v>33396</v>
      </c>
      <c r="L219">
        <v>166980</v>
      </c>
      <c r="M219" s="1" t="s">
        <v>22</v>
      </c>
      <c r="N219" s="1" t="s">
        <v>46</v>
      </c>
      <c r="O219" t="str">
        <f>TEXT(SalesDataset[[#This Row],[Order_Date]],"mmm")</f>
        <v>Dec</v>
      </c>
      <c r="P219" s="1" t="str">
        <f>TEXT(SalesDataset[[#This Row],[Order_Date]],"YYYY")</f>
        <v>2025</v>
      </c>
      <c r="Q219" s="1" t="str">
        <f>_xlfn.TEXTJOIN(" ",TRUE,SalesDataset[[#This Row],[First_Name]],SalesDataset[[#This Row],[Last_Name]])</f>
        <v>Stacy Donaldson</v>
      </c>
    </row>
    <row r="220" spans="1:17" x14ac:dyDescent="0.25">
      <c r="A220" s="1" t="s">
        <v>981</v>
      </c>
      <c r="B220" s="2">
        <v>45976</v>
      </c>
      <c r="C220" s="1" t="s">
        <v>982</v>
      </c>
      <c r="D220" s="1" t="s">
        <v>983</v>
      </c>
      <c r="E220" s="1" t="s">
        <v>860</v>
      </c>
      <c r="F220" s="1" t="s">
        <v>984</v>
      </c>
      <c r="G220" s="1" t="s">
        <v>19</v>
      </c>
      <c r="H220" s="1" t="s">
        <v>20</v>
      </c>
      <c r="I220" s="1" t="s">
        <v>21</v>
      </c>
      <c r="J220">
        <v>4</v>
      </c>
      <c r="K220">
        <v>34525</v>
      </c>
      <c r="L220">
        <v>138100</v>
      </c>
      <c r="M220" s="1" t="s">
        <v>38</v>
      </c>
      <c r="N220" s="1" t="s">
        <v>31</v>
      </c>
      <c r="O220" t="str">
        <f>TEXT(SalesDataset[[#This Row],[Order_Date]],"mmm")</f>
        <v>Nov</v>
      </c>
      <c r="P220" s="1" t="str">
        <f>TEXT(SalesDataset[[#This Row],[Order_Date]],"YYYY")</f>
        <v>2025</v>
      </c>
      <c r="Q220" s="1" t="str">
        <f>_xlfn.TEXTJOIN(" ",TRUE,SalesDataset[[#This Row],[First_Name]],SalesDataset[[#This Row],[Last_Name]])</f>
        <v>Laura Allison</v>
      </c>
    </row>
    <row r="221" spans="1:17" x14ac:dyDescent="0.25">
      <c r="A221" s="1" t="s">
        <v>985</v>
      </c>
      <c r="B221" s="2">
        <v>46093</v>
      </c>
      <c r="C221" s="1" t="s">
        <v>486</v>
      </c>
      <c r="D221" s="1" t="s">
        <v>986</v>
      </c>
      <c r="E221" s="1" t="s">
        <v>987</v>
      </c>
      <c r="F221" s="1" t="s">
        <v>988</v>
      </c>
      <c r="G221" s="1" t="s">
        <v>19</v>
      </c>
      <c r="H221" s="1" t="s">
        <v>92</v>
      </c>
      <c r="I221" s="1" t="s">
        <v>21</v>
      </c>
      <c r="J221">
        <v>1</v>
      </c>
      <c r="K221">
        <v>76105</v>
      </c>
      <c r="L221">
        <v>76105</v>
      </c>
      <c r="M221" s="1" t="s">
        <v>22</v>
      </c>
      <c r="N221" s="1" t="s">
        <v>23</v>
      </c>
      <c r="O221" t="str">
        <f>TEXT(SalesDataset[[#This Row],[Order_Date]],"mmm")</f>
        <v>Mar</v>
      </c>
      <c r="P221" s="1" t="str">
        <f>TEXT(SalesDataset[[#This Row],[Order_Date]],"YYYY")</f>
        <v>2026</v>
      </c>
      <c r="Q221" s="1" t="str">
        <f>_xlfn.TEXTJOIN(" ",TRUE,SalesDataset[[#This Row],[First_Name]],SalesDataset[[#This Row],[Last_Name]])</f>
        <v>Pamela Hughes</v>
      </c>
    </row>
    <row r="222" spans="1:17" x14ac:dyDescent="0.25">
      <c r="A222" s="1" t="s">
        <v>989</v>
      </c>
      <c r="B222" s="2">
        <v>46024</v>
      </c>
      <c r="C222" s="1" t="s">
        <v>990</v>
      </c>
      <c r="D222" s="1" t="s">
        <v>255</v>
      </c>
      <c r="E222" s="1" t="s">
        <v>991</v>
      </c>
      <c r="F222" s="1" t="s">
        <v>992</v>
      </c>
      <c r="G222" s="1" t="s">
        <v>19</v>
      </c>
      <c r="H222" s="1" t="s">
        <v>80</v>
      </c>
      <c r="I222" s="1" t="s">
        <v>21</v>
      </c>
      <c r="J222">
        <v>4</v>
      </c>
      <c r="K222">
        <v>65587</v>
      </c>
      <c r="L222">
        <v>262348</v>
      </c>
      <c r="M222" s="1" t="s">
        <v>22</v>
      </c>
      <c r="N222" s="1" t="s">
        <v>31</v>
      </c>
      <c r="O222" t="str">
        <f>TEXT(SalesDataset[[#This Row],[Order_Date]],"mmm")</f>
        <v>Jan</v>
      </c>
      <c r="P222" s="1" t="str">
        <f>TEXT(SalesDataset[[#This Row],[Order_Date]],"YYYY")</f>
        <v>2026</v>
      </c>
      <c r="Q222" s="1" t="str">
        <f>_xlfn.TEXTJOIN(" ",TRUE,SalesDataset[[#This Row],[First_Name]],SalesDataset[[#This Row],[Last_Name]])</f>
        <v>Kimberly Velez</v>
      </c>
    </row>
    <row r="223" spans="1:17" x14ac:dyDescent="0.25">
      <c r="A223" s="1" t="s">
        <v>993</v>
      </c>
      <c r="B223" s="2">
        <v>46091</v>
      </c>
      <c r="C223" s="1" t="s">
        <v>994</v>
      </c>
      <c r="D223" s="1" t="s">
        <v>184</v>
      </c>
      <c r="E223" s="1" t="s">
        <v>42</v>
      </c>
      <c r="F223" s="1" t="s">
        <v>995</v>
      </c>
      <c r="G223" s="1" t="s">
        <v>102</v>
      </c>
      <c r="H223" s="1" t="s">
        <v>62</v>
      </c>
      <c r="I223" s="1" t="s">
        <v>21</v>
      </c>
      <c r="J223">
        <v>2</v>
      </c>
      <c r="K223">
        <v>49153</v>
      </c>
      <c r="L223">
        <v>98306</v>
      </c>
      <c r="M223" s="1" t="s">
        <v>38</v>
      </c>
      <c r="N223" s="1" t="s">
        <v>23</v>
      </c>
      <c r="O223" t="str">
        <f>TEXT(SalesDataset[[#This Row],[Order_Date]],"mmm")</f>
        <v>Mar</v>
      </c>
      <c r="P223" s="1" t="str">
        <f>TEXT(SalesDataset[[#This Row],[Order_Date]],"YYYY")</f>
        <v>2026</v>
      </c>
      <c r="Q223" s="1" t="str">
        <f>_xlfn.TEXTJOIN(" ",TRUE,SalesDataset[[#This Row],[First_Name]],SalesDataset[[#This Row],[Last_Name]])</f>
        <v>William Nichols</v>
      </c>
    </row>
    <row r="224" spans="1:17" x14ac:dyDescent="0.25">
      <c r="A224" s="1" t="s">
        <v>996</v>
      </c>
      <c r="B224" s="2">
        <v>45898</v>
      </c>
      <c r="C224" s="1" t="s">
        <v>997</v>
      </c>
      <c r="D224" s="1" t="s">
        <v>273</v>
      </c>
      <c r="E224" s="1" t="s">
        <v>35</v>
      </c>
      <c r="F224" s="1" t="s">
        <v>998</v>
      </c>
      <c r="G224" s="1" t="s">
        <v>102</v>
      </c>
      <c r="H224" s="1" t="s">
        <v>92</v>
      </c>
      <c r="I224" s="1" t="s">
        <v>21</v>
      </c>
      <c r="J224">
        <v>5</v>
      </c>
      <c r="K224">
        <v>58143</v>
      </c>
      <c r="L224">
        <v>290715</v>
      </c>
      <c r="M224" s="1" t="s">
        <v>38</v>
      </c>
      <c r="N224" s="1" t="s">
        <v>23</v>
      </c>
      <c r="O224" t="str">
        <f>TEXT(SalesDataset[[#This Row],[Order_Date]],"mmm")</f>
        <v>Aug</v>
      </c>
      <c r="P224" s="1" t="str">
        <f>TEXT(SalesDataset[[#This Row],[Order_Date]],"YYYY")</f>
        <v>2025</v>
      </c>
      <c r="Q224" s="1" t="str">
        <f>_xlfn.TEXTJOIN(" ",TRUE,SalesDataset[[#This Row],[First_Name]],SalesDataset[[#This Row],[Last_Name]])</f>
        <v>Robert Ray</v>
      </c>
    </row>
    <row r="225" spans="1:17" x14ac:dyDescent="0.25">
      <c r="A225" s="1" t="s">
        <v>999</v>
      </c>
      <c r="B225" s="2">
        <v>46099</v>
      </c>
      <c r="C225" s="1" t="s">
        <v>1000</v>
      </c>
      <c r="D225" s="1" t="s">
        <v>884</v>
      </c>
      <c r="E225" s="1" t="s">
        <v>121</v>
      </c>
      <c r="F225" s="1" t="s">
        <v>1001</v>
      </c>
      <c r="G225" s="1" t="s">
        <v>19</v>
      </c>
      <c r="H225" s="1" t="s">
        <v>37</v>
      </c>
      <c r="I225" s="1" t="s">
        <v>21</v>
      </c>
      <c r="J225">
        <v>1</v>
      </c>
      <c r="K225">
        <v>73125</v>
      </c>
      <c r="L225">
        <v>73125</v>
      </c>
      <c r="M225" s="1" t="s">
        <v>38</v>
      </c>
      <c r="N225" s="1" t="s">
        <v>46</v>
      </c>
      <c r="O225" t="str">
        <f>TEXT(SalesDataset[[#This Row],[Order_Date]],"mmm")</f>
        <v>Mar</v>
      </c>
      <c r="P225" s="1" t="str">
        <f>TEXT(SalesDataset[[#This Row],[Order_Date]],"YYYY")</f>
        <v>2026</v>
      </c>
      <c r="Q225" s="1" t="str">
        <f>_xlfn.TEXTJOIN(" ",TRUE,SalesDataset[[#This Row],[First_Name]],SalesDataset[[#This Row],[Last_Name]])</f>
        <v>Lori Davis</v>
      </c>
    </row>
    <row r="226" spans="1:17" x14ac:dyDescent="0.25">
      <c r="A226" s="1" t="s">
        <v>1002</v>
      </c>
      <c r="B226" s="2">
        <v>46060</v>
      </c>
      <c r="C226" s="1" t="s">
        <v>1003</v>
      </c>
      <c r="D226" s="1" t="s">
        <v>1004</v>
      </c>
      <c r="E226" s="1" t="s">
        <v>1005</v>
      </c>
      <c r="F226" s="1" t="s">
        <v>1006</v>
      </c>
      <c r="G226" s="1" t="s">
        <v>29</v>
      </c>
      <c r="H226" s="1" t="s">
        <v>30</v>
      </c>
      <c r="I226" s="1" t="s">
        <v>21</v>
      </c>
      <c r="J226">
        <v>3</v>
      </c>
      <c r="K226">
        <v>26482</v>
      </c>
      <c r="L226">
        <v>79446</v>
      </c>
      <c r="M226" s="1" t="s">
        <v>38</v>
      </c>
      <c r="N226" s="1" t="s">
        <v>23</v>
      </c>
      <c r="O226" t="str">
        <f>TEXT(SalesDataset[[#This Row],[Order_Date]],"mmm")</f>
        <v>Feb</v>
      </c>
      <c r="P226" s="1" t="str">
        <f>TEXT(SalesDataset[[#This Row],[Order_Date]],"YYYY")</f>
        <v>2026</v>
      </c>
      <c r="Q226" s="1" t="str">
        <f>_xlfn.TEXTJOIN(" ",TRUE,SalesDataset[[#This Row],[First_Name]],SalesDataset[[#This Row],[Last_Name]])</f>
        <v>Dr. Michele Roberts DDS</v>
      </c>
    </row>
    <row r="227" spans="1:17" x14ac:dyDescent="0.25">
      <c r="A227" s="1" t="s">
        <v>1007</v>
      </c>
      <c r="B227" s="2">
        <v>45907</v>
      </c>
      <c r="C227" s="1" t="s">
        <v>1008</v>
      </c>
      <c r="D227" s="1" t="s">
        <v>41</v>
      </c>
      <c r="E227" s="1" t="s">
        <v>281</v>
      </c>
      <c r="F227" s="1" t="s">
        <v>1009</v>
      </c>
      <c r="G227" s="1" t="s">
        <v>29</v>
      </c>
      <c r="H227" s="1" t="s">
        <v>37</v>
      </c>
      <c r="I227" s="1" t="s">
        <v>21</v>
      </c>
      <c r="J227">
        <v>3</v>
      </c>
      <c r="K227">
        <v>56980</v>
      </c>
      <c r="L227">
        <v>170940</v>
      </c>
      <c r="M227" s="1" t="s">
        <v>74</v>
      </c>
      <c r="N227" s="1" t="s">
        <v>23</v>
      </c>
      <c r="O227" t="str">
        <f>TEXT(SalesDataset[[#This Row],[Order_Date]],"mmm")</f>
        <v>Sep</v>
      </c>
      <c r="P227" s="1" t="str">
        <f>TEXT(SalesDataset[[#This Row],[Order_Date]],"YYYY")</f>
        <v>2025</v>
      </c>
      <c r="Q227" s="1" t="str">
        <f>_xlfn.TEXTJOIN(" ",TRUE,SalesDataset[[#This Row],[First_Name]],SalesDataset[[#This Row],[Last_Name]])</f>
        <v>Angel Thomas</v>
      </c>
    </row>
    <row r="228" spans="1:17" x14ac:dyDescent="0.25">
      <c r="A228" s="1" t="s">
        <v>1010</v>
      </c>
      <c r="B228" s="2">
        <v>45897</v>
      </c>
      <c r="C228" s="1" t="s">
        <v>1011</v>
      </c>
      <c r="D228" s="1" t="s">
        <v>482</v>
      </c>
      <c r="E228" s="1" t="s">
        <v>657</v>
      </c>
      <c r="F228" s="1" t="s">
        <v>1012</v>
      </c>
      <c r="G228" s="1" t="s">
        <v>102</v>
      </c>
      <c r="H228" s="1" t="s">
        <v>20</v>
      </c>
      <c r="I228" s="1" t="s">
        <v>21</v>
      </c>
      <c r="J228">
        <v>3</v>
      </c>
      <c r="K228">
        <v>29433</v>
      </c>
      <c r="L228">
        <v>88299</v>
      </c>
      <c r="M228" s="1" t="s">
        <v>22</v>
      </c>
      <c r="N228" s="1" t="s">
        <v>31</v>
      </c>
      <c r="O228" t="str">
        <f>TEXT(SalesDataset[[#This Row],[Order_Date]],"mmm")</f>
        <v>Aug</v>
      </c>
      <c r="P228" s="1" t="str">
        <f>TEXT(SalesDataset[[#This Row],[Order_Date]],"YYYY")</f>
        <v>2025</v>
      </c>
      <c r="Q228" s="1" t="str">
        <f>_xlfn.TEXTJOIN(" ",TRUE,SalesDataset[[#This Row],[First_Name]],SalesDataset[[#This Row],[Last_Name]])</f>
        <v>Justin Webb</v>
      </c>
    </row>
    <row r="229" spans="1:17" x14ac:dyDescent="0.25">
      <c r="A229" s="1" t="s">
        <v>1013</v>
      </c>
      <c r="B229" s="2">
        <v>45853</v>
      </c>
      <c r="C229" s="1" t="s">
        <v>1014</v>
      </c>
      <c r="D229" s="1" t="s">
        <v>729</v>
      </c>
      <c r="E229" s="1" t="s">
        <v>416</v>
      </c>
      <c r="F229" s="1" t="s">
        <v>1015</v>
      </c>
      <c r="G229" s="1" t="s">
        <v>29</v>
      </c>
      <c r="H229" s="1" t="s">
        <v>37</v>
      </c>
      <c r="I229" s="1" t="s">
        <v>21</v>
      </c>
      <c r="J229">
        <v>1</v>
      </c>
      <c r="K229">
        <v>71723</v>
      </c>
      <c r="L229">
        <v>71723</v>
      </c>
      <c r="M229" s="1" t="s">
        <v>38</v>
      </c>
      <c r="N229" s="1" t="s">
        <v>31</v>
      </c>
      <c r="O229" t="str">
        <f>TEXT(SalesDataset[[#This Row],[Order_Date]],"mmm")</f>
        <v>Jul</v>
      </c>
      <c r="P229" s="1" t="str">
        <f>TEXT(SalesDataset[[#This Row],[Order_Date]],"YYYY")</f>
        <v>2025</v>
      </c>
      <c r="Q229" s="1" t="str">
        <f>_xlfn.TEXTJOIN(" ",TRUE,SalesDataset[[#This Row],[First_Name]],SalesDataset[[#This Row],[Last_Name]])</f>
        <v>Linda Garcia</v>
      </c>
    </row>
    <row r="230" spans="1:17" x14ac:dyDescent="0.25">
      <c r="A230" s="1" t="s">
        <v>1016</v>
      </c>
      <c r="B230" s="2">
        <v>46000</v>
      </c>
      <c r="C230" s="1" t="s">
        <v>481</v>
      </c>
      <c r="D230" s="1" t="s">
        <v>269</v>
      </c>
      <c r="E230" s="1" t="s">
        <v>1017</v>
      </c>
      <c r="F230" s="1" t="s">
        <v>1018</v>
      </c>
      <c r="G230" s="1" t="s">
        <v>44</v>
      </c>
      <c r="H230" s="1" t="s">
        <v>62</v>
      </c>
      <c r="I230" s="1" t="s">
        <v>21</v>
      </c>
      <c r="J230">
        <v>4</v>
      </c>
      <c r="K230">
        <v>5279</v>
      </c>
      <c r="L230">
        <v>21116</v>
      </c>
      <c r="M230" s="1" t="s">
        <v>38</v>
      </c>
      <c r="N230" s="1" t="s">
        <v>23</v>
      </c>
      <c r="O230" t="str">
        <f>TEXT(SalesDataset[[#This Row],[Order_Date]],"mmm")</f>
        <v>Dec</v>
      </c>
      <c r="P230" s="1" t="str">
        <f>TEXT(SalesDataset[[#This Row],[Order_Date]],"YYYY")</f>
        <v>2025</v>
      </c>
      <c r="Q230" s="1" t="str">
        <f>_xlfn.TEXTJOIN(" ",TRUE,SalesDataset[[#This Row],[First_Name]],SalesDataset[[#This Row],[Last_Name]])</f>
        <v>Megan Fuller</v>
      </c>
    </row>
    <row r="231" spans="1:17" x14ac:dyDescent="0.25">
      <c r="A231" s="1" t="s">
        <v>1019</v>
      </c>
      <c r="B231" s="2">
        <v>46120</v>
      </c>
      <c r="C231" s="1" t="s">
        <v>1020</v>
      </c>
      <c r="D231" s="1" t="s">
        <v>1021</v>
      </c>
      <c r="E231" s="1" t="s">
        <v>281</v>
      </c>
      <c r="F231" s="1" t="s">
        <v>1022</v>
      </c>
      <c r="G231" s="1" t="s">
        <v>29</v>
      </c>
      <c r="H231" s="1" t="s">
        <v>45</v>
      </c>
      <c r="I231" s="1" t="s">
        <v>21</v>
      </c>
      <c r="J231">
        <v>2</v>
      </c>
      <c r="K231">
        <v>6923</v>
      </c>
      <c r="L231">
        <v>13846</v>
      </c>
      <c r="M231" s="1" t="s">
        <v>74</v>
      </c>
      <c r="N231" s="1" t="s">
        <v>31</v>
      </c>
      <c r="O231" t="str">
        <f>TEXT(SalesDataset[[#This Row],[Order_Date]],"mmm")</f>
        <v>Apr</v>
      </c>
      <c r="P231" s="1" t="str">
        <f>TEXT(SalesDataset[[#This Row],[Order_Date]],"YYYY")</f>
        <v>2026</v>
      </c>
      <c r="Q231" s="1" t="str">
        <f>_xlfn.TEXTJOIN(" ",TRUE,SalesDataset[[#This Row],[First_Name]],SalesDataset[[#This Row],[Last_Name]])</f>
        <v>Mrs. Diane Thomas</v>
      </c>
    </row>
    <row r="232" spans="1:17" x14ac:dyDescent="0.25">
      <c r="A232" s="1" t="s">
        <v>1023</v>
      </c>
      <c r="B232" s="2">
        <v>46008</v>
      </c>
      <c r="C232" s="1" t="s">
        <v>1024</v>
      </c>
      <c r="D232" s="1" t="s">
        <v>378</v>
      </c>
      <c r="E232" s="1" t="s">
        <v>374</v>
      </c>
      <c r="F232" s="1" t="s">
        <v>1025</v>
      </c>
      <c r="G232" s="1" t="s">
        <v>19</v>
      </c>
      <c r="H232" s="1" t="s">
        <v>30</v>
      </c>
      <c r="I232" s="1" t="s">
        <v>21</v>
      </c>
      <c r="J232">
        <v>4</v>
      </c>
      <c r="K232">
        <v>9637</v>
      </c>
      <c r="L232">
        <v>38548</v>
      </c>
      <c r="M232" s="1" t="s">
        <v>22</v>
      </c>
      <c r="N232" s="1" t="s">
        <v>31</v>
      </c>
      <c r="O232" t="str">
        <f>TEXT(SalesDataset[[#This Row],[Order_Date]],"mmm")</f>
        <v>Dec</v>
      </c>
      <c r="P232" s="1" t="str">
        <f>TEXT(SalesDataset[[#This Row],[Order_Date]],"YYYY")</f>
        <v>2025</v>
      </c>
      <c r="Q232" s="1" t="str">
        <f>_xlfn.TEXTJOIN(" ",TRUE,SalesDataset[[#This Row],[First_Name]],SalesDataset[[#This Row],[Last_Name]])</f>
        <v>Brian Martinez</v>
      </c>
    </row>
    <row r="233" spans="1:17" x14ac:dyDescent="0.25">
      <c r="A233" s="1" t="s">
        <v>1026</v>
      </c>
      <c r="B233" s="2">
        <v>45984</v>
      </c>
      <c r="C233" s="1" t="s">
        <v>1027</v>
      </c>
      <c r="D233" s="1" t="s">
        <v>526</v>
      </c>
      <c r="E233" s="1" t="s">
        <v>1028</v>
      </c>
      <c r="F233" s="1" t="s">
        <v>1029</v>
      </c>
      <c r="G233" s="1" t="s">
        <v>19</v>
      </c>
      <c r="H233" s="1" t="s">
        <v>80</v>
      </c>
      <c r="I233" s="1" t="s">
        <v>21</v>
      </c>
      <c r="J233">
        <v>3</v>
      </c>
      <c r="K233">
        <v>34207</v>
      </c>
      <c r="L233">
        <v>102621</v>
      </c>
      <c r="M233" s="1" t="s">
        <v>74</v>
      </c>
      <c r="N233" s="1" t="s">
        <v>46</v>
      </c>
      <c r="O233" t="str">
        <f>TEXT(SalesDataset[[#This Row],[Order_Date]],"mmm")</f>
        <v>Nov</v>
      </c>
      <c r="P233" s="1" t="str">
        <f>TEXT(SalesDataset[[#This Row],[Order_Date]],"YYYY")</f>
        <v>2025</v>
      </c>
      <c r="Q233" s="1" t="str">
        <f>_xlfn.TEXTJOIN(" ",TRUE,SalesDataset[[#This Row],[First_Name]],SalesDataset[[#This Row],[Last_Name]])</f>
        <v>Cheryl Hill</v>
      </c>
    </row>
    <row r="234" spans="1:17" x14ac:dyDescent="0.25">
      <c r="A234" s="1" t="s">
        <v>1030</v>
      </c>
      <c r="B234" s="2">
        <v>45859</v>
      </c>
      <c r="C234" s="1" t="s">
        <v>530</v>
      </c>
      <c r="D234" s="1" t="s">
        <v>1031</v>
      </c>
      <c r="E234" s="1" t="s">
        <v>72</v>
      </c>
      <c r="F234" s="1" t="s">
        <v>1032</v>
      </c>
      <c r="G234" s="1" t="s">
        <v>19</v>
      </c>
      <c r="H234" s="1" t="s">
        <v>92</v>
      </c>
      <c r="I234" s="1" t="s">
        <v>21</v>
      </c>
      <c r="J234">
        <v>5</v>
      </c>
      <c r="K234">
        <v>1135</v>
      </c>
      <c r="L234">
        <v>5675</v>
      </c>
      <c r="M234" s="1" t="s">
        <v>74</v>
      </c>
      <c r="N234" s="1" t="s">
        <v>23</v>
      </c>
      <c r="O234" t="str">
        <f>TEXT(SalesDataset[[#This Row],[Order_Date]],"mmm")</f>
        <v>Jul</v>
      </c>
      <c r="P234" s="1" t="str">
        <f>TEXT(SalesDataset[[#This Row],[Order_Date]],"YYYY")</f>
        <v>2025</v>
      </c>
      <c r="Q234" s="1" t="str">
        <f>_xlfn.TEXTJOIN(" ",TRUE,SalesDataset[[#This Row],[First_Name]],SalesDataset[[#This Row],[Last_Name]])</f>
        <v>Betty Evans</v>
      </c>
    </row>
    <row r="235" spans="1:17" x14ac:dyDescent="0.25">
      <c r="A235" s="1" t="s">
        <v>1033</v>
      </c>
      <c r="B235" s="2">
        <v>45837</v>
      </c>
      <c r="C235" s="1" t="s">
        <v>581</v>
      </c>
      <c r="D235" s="1" t="s">
        <v>1034</v>
      </c>
      <c r="E235" s="1" t="s">
        <v>1035</v>
      </c>
      <c r="F235" s="1" t="s">
        <v>1036</v>
      </c>
      <c r="G235" s="1" t="s">
        <v>44</v>
      </c>
      <c r="H235" s="1" t="s">
        <v>80</v>
      </c>
      <c r="I235" s="1" t="s">
        <v>21</v>
      </c>
      <c r="J235">
        <v>1</v>
      </c>
      <c r="K235">
        <v>66504</v>
      </c>
      <c r="L235">
        <v>66504</v>
      </c>
      <c r="M235" s="1" t="s">
        <v>22</v>
      </c>
      <c r="N235" s="1" t="s">
        <v>31</v>
      </c>
      <c r="O235" t="str">
        <f>TEXT(SalesDataset[[#This Row],[Order_Date]],"mmm")</f>
        <v>Jun</v>
      </c>
      <c r="P235" s="1" t="str">
        <f>TEXT(SalesDataset[[#This Row],[Order_Date]],"YYYY")</f>
        <v>2025</v>
      </c>
      <c r="Q235" s="1" t="str">
        <f>_xlfn.TEXTJOIN(" ",TRUE,SalesDataset[[#This Row],[First_Name]],SalesDataset[[#This Row],[Last_Name]])</f>
        <v>John Brown PhD</v>
      </c>
    </row>
    <row r="236" spans="1:17" x14ac:dyDescent="0.25">
      <c r="A236" s="1" t="s">
        <v>1037</v>
      </c>
      <c r="B236" s="2">
        <v>45913</v>
      </c>
      <c r="C236" s="1" t="s">
        <v>387</v>
      </c>
      <c r="D236" s="1" t="s">
        <v>1038</v>
      </c>
      <c r="E236" s="1" t="s">
        <v>1039</v>
      </c>
      <c r="F236" s="1" t="s">
        <v>1040</v>
      </c>
      <c r="G236" s="1" t="s">
        <v>44</v>
      </c>
      <c r="H236" s="1" t="s">
        <v>62</v>
      </c>
      <c r="I236" s="1" t="s">
        <v>21</v>
      </c>
      <c r="J236">
        <v>2</v>
      </c>
      <c r="K236">
        <v>66180</v>
      </c>
      <c r="L236">
        <v>132360</v>
      </c>
      <c r="M236" s="1" t="s">
        <v>86</v>
      </c>
      <c r="N236" s="1" t="s">
        <v>31</v>
      </c>
      <c r="O236" t="str">
        <f>TEXT(SalesDataset[[#This Row],[Order_Date]],"mmm")</f>
        <v>Sep</v>
      </c>
      <c r="P236" s="1" t="str">
        <f>TEXT(SalesDataset[[#This Row],[Order_Date]],"YYYY")</f>
        <v>2025</v>
      </c>
      <c r="Q236" s="1" t="str">
        <f>_xlfn.TEXTJOIN(" ",TRUE,SalesDataset[[#This Row],[First_Name]],SalesDataset[[#This Row],[Last_Name]])</f>
        <v>Leslie Berger</v>
      </c>
    </row>
    <row r="237" spans="1:17" x14ac:dyDescent="0.25">
      <c r="A237" s="1" t="s">
        <v>1041</v>
      </c>
      <c r="B237" s="2">
        <v>46019</v>
      </c>
      <c r="C237" s="1" t="s">
        <v>1042</v>
      </c>
      <c r="D237" s="1" t="s">
        <v>1043</v>
      </c>
      <c r="E237" s="1" t="s">
        <v>1044</v>
      </c>
      <c r="F237" s="1" t="s">
        <v>1045</v>
      </c>
      <c r="G237" s="1" t="s">
        <v>19</v>
      </c>
      <c r="H237" s="1" t="s">
        <v>20</v>
      </c>
      <c r="I237" s="1" t="s">
        <v>21</v>
      </c>
      <c r="J237">
        <v>1</v>
      </c>
      <c r="K237">
        <v>35548</v>
      </c>
      <c r="L237">
        <v>35548</v>
      </c>
      <c r="M237" s="1" t="s">
        <v>63</v>
      </c>
      <c r="N237" s="1" t="s">
        <v>46</v>
      </c>
      <c r="O237" t="str">
        <f>TEXT(SalesDataset[[#This Row],[Order_Date]],"mmm")</f>
        <v>Dec</v>
      </c>
      <c r="P237" s="1" t="str">
        <f>TEXT(SalesDataset[[#This Row],[Order_Date]],"YYYY")</f>
        <v>2025</v>
      </c>
      <c r="Q237" s="1" t="str">
        <f>_xlfn.TEXTJOIN(" ",TRUE,SalesDataset[[#This Row],[First_Name]],SalesDataset[[#This Row],[Last_Name]])</f>
        <v>Brandy Singh</v>
      </c>
    </row>
    <row r="238" spans="1:17" x14ac:dyDescent="0.25">
      <c r="A238" s="1" t="s">
        <v>1046</v>
      </c>
      <c r="B238" s="2">
        <v>45785</v>
      </c>
      <c r="C238" s="1" t="s">
        <v>1047</v>
      </c>
      <c r="D238" s="1" t="s">
        <v>34</v>
      </c>
      <c r="E238" s="1" t="s">
        <v>1048</v>
      </c>
      <c r="F238" s="1" t="s">
        <v>1049</v>
      </c>
      <c r="G238" s="1" t="s">
        <v>44</v>
      </c>
      <c r="H238" s="1" t="s">
        <v>80</v>
      </c>
      <c r="I238" s="1" t="s">
        <v>21</v>
      </c>
      <c r="J238">
        <v>3</v>
      </c>
      <c r="K238">
        <v>47303</v>
      </c>
      <c r="L238">
        <v>141909</v>
      </c>
      <c r="M238" s="1" t="s">
        <v>38</v>
      </c>
      <c r="N238" s="1" t="s">
        <v>46</v>
      </c>
      <c r="O238" t="str">
        <f>TEXT(SalesDataset[[#This Row],[Order_Date]],"mmm")</f>
        <v>May</v>
      </c>
      <c r="P238" s="1" t="str">
        <f>TEXT(SalesDataset[[#This Row],[Order_Date]],"YYYY")</f>
        <v>2025</v>
      </c>
      <c r="Q238" s="1" t="str">
        <f>_xlfn.TEXTJOIN(" ",TRUE,SalesDataset[[#This Row],[First_Name]],SalesDataset[[#This Row],[Last_Name]])</f>
        <v>Jennifer Dickson</v>
      </c>
    </row>
    <row r="239" spans="1:17" x14ac:dyDescent="0.25">
      <c r="A239" s="1" t="s">
        <v>1050</v>
      </c>
      <c r="B239" s="2">
        <v>46099</v>
      </c>
      <c r="C239" s="1" t="s">
        <v>1051</v>
      </c>
      <c r="D239" s="1" t="s">
        <v>1052</v>
      </c>
      <c r="E239" s="1" t="s">
        <v>1053</v>
      </c>
      <c r="F239" s="1" t="s">
        <v>1054</v>
      </c>
      <c r="G239" s="1" t="s">
        <v>44</v>
      </c>
      <c r="H239" s="1" t="s">
        <v>20</v>
      </c>
      <c r="I239" s="1" t="s">
        <v>21</v>
      </c>
      <c r="J239">
        <v>1</v>
      </c>
      <c r="K239">
        <v>54068</v>
      </c>
      <c r="L239">
        <v>54068</v>
      </c>
      <c r="M239" s="1" t="s">
        <v>86</v>
      </c>
      <c r="N239" s="1" t="s">
        <v>31</v>
      </c>
      <c r="O239" t="str">
        <f>TEXT(SalesDataset[[#This Row],[Order_Date]],"mmm")</f>
        <v>Mar</v>
      </c>
      <c r="P239" s="1" t="str">
        <f>TEXT(SalesDataset[[#This Row],[Order_Date]],"YYYY")</f>
        <v>2026</v>
      </c>
      <c r="Q239" s="1" t="str">
        <f>_xlfn.TEXTJOIN(" ",TRUE,SalesDataset[[#This Row],[First_Name]],SalesDataset[[#This Row],[Last_Name]])</f>
        <v>Drew Singleton</v>
      </c>
    </row>
    <row r="240" spans="1:17" x14ac:dyDescent="0.25">
      <c r="A240" s="1" t="s">
        <v>1055</v>
      </c>
      <c r="B240" s="2">
        <v>46106</v>
      </c>
      <c r="C240" s="1" t="s">
        <v>1056</v>
      </c>
      <c r="D240" s="1" t="s">
        <v>437</v>
      </c>
      <c r="E240" s="1" t="s">
        <v>1057</v>
      </c>
      <c r="F240" s="1" t="s">
        <v>1058</v>
      </c>
      <c r="G240" s="1" t="s">
        <v>19</v>
      </c>
      <c r="H240" s="1" t="s">
        <v>20</v>
      </c>
      <c r="I240" s="1" t="s">
        <v>21</v>
      </c>
      <c r="J240">
        <v>3</v>
      </c>
      <c r="K240">
        <v>75992</v>
      </c>
      <c r="L240">
        <v>227976</v>
      </c>
      <c r="M240" s="1" t="s">
        <v>74</v>
      </c>
      <c r="N240" s="1" t="s">
        <v>23</v>
      </c>
      <c r="O240" t="str">
        <f>TEXT(SalesDataset[[#This Row],[Order_Date]],"mmm")</f>
        <v>Mar</v>
      </c>
      <c r="P240" s="1" t="str">
        <f>TEXT(SalesDataset[[#This Row],[Order_Date]],"YYYY")</f>
        <v>2026</v>
      </c>
      <c r="Q240" s="1" t="str">
        <f>_xlfn.TEXTJOIN(" ",TRUE,SalesDataset[[#This Row],[First_Name]],SalesDataset[[#This Row],[Last_Name]])</f>
        <v>Brandon Combs</v>
      </c>
    </row>
    <row r="241" spans="1:17" x14ac:dyDescent="0.25">
      <c r="A241" s="1" t="s">
        <v>1059</v>
      </c>
      <c r="B241" s="2">
        <v>46051</v>
      </c>
      <c r="C241" s="1" t="s">
        <v>628</v>
      </c>
      <c r="D241" s="1" t="s">
        <v>34</v>
      </c>
      <c r="E241" s="1" t="s">
        <v>1060</v>
      </c>
      <c r="F241" s="1" t="s">
        <v>1061</v>
      </c>
      <c r="G241" s="1" t="s">
        <v>44</v>
      </c>
      <c r="H241" s="1" t="s">
        <v>30</v>
      </c>
      <c r="I241" s="1" t="s">
        <v>21</v>
      </c>
      <c r="J241">
        <v>2</v>
      </c>
      <c r="K241">
        <v>34076</v>
      </c>
      <c r="L241">
        <v>68152</v>
      </c>
      <c r="M241" s="1" t="s">
        <v>22</v>
      </c>
      <c r="N241" s="1" t="s">
        <v>46</v>
      </c>
      <c r="O241" t="str">
        <f>TEXT(SalesDataset[[#This Row],[Order_Date]],"mmm")</f>
        <v>Jan</v>
      </c>
      <c r="P241" s="1" t="str">
        <f>TEXT(SalesDataset[[#This Row],[Order_Date]],"YYYY")</f>
        <v>2026</v>
      </c>
      <c r="Q241" s="1" t="str">
        <f>_xlfn.TEXTJOIN(" ",TRUE,SalesDataset[[#This Row],[First_Name]],SalesDataset[[#This Row],[Last_Name]])</f>
        <v>Jennifer Gomez</v>
      </c>
    </row>
    <row r="242" spans="1:17" x14ac:dyDescent="0.25">
      <c r="A242" s="1" t="s">
        <v>1062</v>
      </c>
      <c r="B242" s="2">
        <v>46033</v>
      </c>
      <c r="C242" s="1" t="s">
        <v>556</v>
      </c>
      <c r="D242" s="1" t="s">
        <v>1063</v>
      </c>
      <c r="E242" s="1" t="s">
        <v>1064</v>
      </c>
      <c r="F242" s="1" t="s">
        <v>1065</v>
      </c>
      <c r="G242" s="1" t="s">
        <v>19</v>
      </c>
      <c r="H242" s="1" t="s">
        <v>45</v>
      </c>
      <c r="I242" s="1" t="s">
        <v>21</v>
      </c>
      <c r="J242">
        <v>2</v>
      </c>
      <c r="K242">
        <v>62683</v>
      </c>
      <c r="L242">
        <v>125366</v>
      </c>
      <c r="M242" s="1" t="s">
        <v>38</v>
      </c>
      <c r="N242" s="1" t="s">
        <v>23</v>
      </c>
      <c r="O242" t="str">
        <f>TEXT(SalesDataset[[#This Row],[Order_Date]],"mmm")</f>
        <v>Jan</v>
      </c>
      <c r="P242" s="1" t="str">
        <f>TEXT(SalesDataset[[#This Row],[Order_Date]],"YYYY")</f>
        <v>2026</v>
      </c>
      <c r="Q242" s="1" t="str">
        <f>_xlfn.TEXTJOIN(" ",TRUE,SalesDataset[[#This Row],[First_Name]],SalesDataset[[#This Row],[Last_Name]])</f>
        <v>Katelyn Miles</v>
      </c>
    </row>
    <row r="243" spans="1:17" x14ac:dyDescent="0.25">
      <c r="A243" s="1" t="s">
        <v>1066</v>
      </c>
      <c r="B243" s="2">
        <v>46031</v>
      </c>
      <c r="C243" s="1" t="s">
        <v>296</v>
      </c>
      <c r="D243" s="1" t="s">
        <v>1067</v>
      </c>
      <c r="E243" s="1" t="s">
        <v>953</v>
      </c>
      <c r="F243" s="1" t="s">
        <v>1068</v>
      </c>
      <c r="G243" s="1" t="s">
        <v>102</v>
      </c>
      <c r="H243" s="1" t="s">
        <v>37</v>
      </c>
      <c r="I243" s="1" t="s">
        <v>21</v>
      </c>
      <c r="J243">
        <v>2</v>
      </c>
      <c r="K243">
        <v>1266</v>
      </c>
      <c r="L243">
        <v>2532</v>
      </c>
      <c r="M243" s="1" t="s">
        <v>22</v>
      </c>
      <c r="N243" s="1" t="s">
        <v>46</v>
      </c>
      <c r="O243" t="str">
        <f>TEXT(SalesDataset[[#This Row],[Order_Date]],"mmm")</f>
        <v>Jan</v>
      </c>
      <c r="P243" s="1" t="str">
        <f>TEXT(SalesDataset[[#This Row],[Order_Date]],"YYYY")</f>
        <v>2026</v>
      </c>
      <c r="Q243" s="1" t="str">
        <f>_xlfn.TEXTJOIN(" ",TRUE,SalesDataset[[#This Row],[First_Name]],SalesDataset[[#This Row],[Last_Name]])</f>
        <v>Nathan Wang</v>
      </c>
    </row>
    <row r="244" spans="1:17" x14ac:dyDescent="0.25">
      <c r="A244" s="1" t="s">
        <v>1069</v>
      </c>
      <c r="B244" s="2">
        <v>46029</v>
      </c>
      <c r="C244" s="1" t="s">
        <v>1070</v>
      </c>
      <c r="D244" s="1" t="s">
        <v>1071</v>
      </c>
      <c r="E244" s="1" t="s">
        <v>131</v>
      </c>
      <c r="F244" s="1" t="s">
        <v>1072</v>
      </c>
      <c r="G244" s="1" t="s">
        <v>19</v>
      </c>
      <c r="H244" s="1" t="s">
        <v>62</v>
      </c>
      <c r="I244" s="1" t="s">
        <v>21</v>
      </c>
      <c r="J244">
        <v>4</v>
      </c>
      <c r="K244">
        <v>34891</v>
      </c>
      <c r="L244">
        <v>139564</v>
      </c>
      <c r="M244" s="1" t="s">
        <v>22</v>
      </c>
      <c r="N244" s="1" t="s">
        <v>31</v>
      </c>
      <c r="O244" t="str">
        <f>TEXT(SalesDataset[[#This Row],[Order_Date]],"mmm")</f>
        <v>Jan</v>
      </c>
      <c r="P244" s="1" t="str">
        <f>TEXT(SalesDataset[[#This Row],[Order_Date]],"YYYY")</f>
        <v>2026</v>
      </c>
      <c r="Q244" s="1" t="str">
        <f>_xlfn.TEXTJOIN(" ",TRUE,SalesDataset[[#This Row],[First_Name]],SalesDataset[[#This Row],[Last_Name]])</f>
        <v>Chad Smith</v>
      </c>
    </row>
    <row r="245" spans="1:17" x14ac:dyDescent="0.25">
      <c r="A245" s="1" t="s">
        <v>1073</v>
      </c>
      <c r="B245" s="2">
        <v>45967</v>
      </c>
      <c r="C245" s="1" t="s">
        <v>1074</v>
      </c>
      <c r="D245" s="1" t="s">
        <v>1075</v>
      </c>
      <c r="E245" s="1" t="s">
        <v>1076</v>
      </c>
      <c r="F245" s="1" t="s">
        <v>1077</v>
      </c>
      <c r="G245" s="1" t="s">
        <v>19</v>
      </c>
      <c r="H245" s="1" t="s">
        <v>37</v>
      </c>
      <c r="I245" s="1" t="s">
        <v>21</v>
      </c>
      <c r="J245">
        <v>4</v>
      </c>
      <c r="K245">
        <v>67969</v>
      </c>
      <c r="L245">
        <v>271876</v>
      </c>
      <c r="M245" s="1" t="s">
        <v>38</v>
      </c>
      <c r="N245" s="1" t="s">
        <v>31</v>
      </c>
      <c r="O245" t="str">
        <f>TEXT(SalesDataset[[#This Row],[Order_Date]],"mmm")</f>
        <v>Nov</v>
      </c>
      <c r="P245" s="1" t="str">
        <f>TEXT(SalesDataset[[#This Row],[Order_Date]],"YYYY")</f>
        <v>2025</v>
      </c>
      <c r="Q245" s="1" t="str">
        <f>_xlfn.TEXTJOIN(" ",TRUE,SalesDataset[[#This Row],[First_Name]],SalesDataset[[#This Row],[Last_Name]])</f>
        <v>Christine Harvey</v>
      </c>
    </row>
    <row r="246" spans="1:17" x14ac:dyDescent="0.25">
      <c r="A246" s="1" t="s">
        <v>1078</v>
      </c>
      <c r="B246" s="2">
        <v>46026</v>
      </c>
      <c r="C246" s="1" t="s">
        <v>1079</v>
      </c>
      <c r="D246" s="1" t="s">
        <v>378</v>
      </c>
      <c r="E246" s="1" t="s">
        <v>121</v>
      </c>
      <c r="F246" s="1" t="s">
        <v>1080</v>
      </c>
      <c r="G246" s="1" t="s">
        <v>102</v>
      </c>
      <c r="H246" s="1" t="s">
        <v>80</v>
      </c>
      <c r="I246" s="1" t="s">
        <v>21</v>
      </c>
      <c r="J246">
        <v>5</v>
      </c>
      <c r="K246">
        <v>58944</v>
      </c>
      <c r="L246">
        <v>294720</v>
      </c>
      <c r="M246" s="1" t="s">
        <v>63</v>
      </c>
      <c r="N246" s="1" t="s">
        <v>23</v>
      </c>
      <c r="O246" t="str">
        <f>TEXT(SalesDataset[[#This Row],[Order_Date]],"mmm")</f>
        <v>Jan</v>
      </c>
      <c r="P246" s="1" t="str">
        <f>TEXT(SalesDataset[[#This Row],[Order_Date]],"YYYY")</f>
        <v>2026</v>
      </c>
      <c r="Q246" s="1" t="str">
        <f>_xlfn.TEXTJOIN(" ",TRUE,SalesDataset[[#This Row],[First_Name]],SalesDataset[[#This Row],[Last_Name]])</f>
        <v>Brian Davis</v>
      </c>
    </row>
    <row r="247" spans="1:17" x14ac:dyDescent="0.25">
      <c r="A247" s="1" t="s">
        <v>1081</v>
      </c>
      <c r="B247" s="2">
        <v>45825</v>
      </c>
      <c r="C247" s="1" t="s">
        <v>1082</v>
      </c>
      <c r="D247" s="1" t="s">
        <v>1083</v>
      </c>
      <c r="E247" s="1" t="s">
        <v>1084</v>
      </c>
      <c r="F247" s="1" t="s">
        <v>1085</v>
      </c>
      <c r="G247" s="1" t="s">
        <v>44</v>
      </c>
      <c r="H247" s="1" t="s">
        <v>92</v>
      </c>
      <c r="I247" s="1" t="s">
        <v>21</v>
      </c>
      <c r="J247">
        <v>3</v>
      </c>
      <c r="K247">
        <v>55059</v>
      </c>
      <c r="L247">
        <v>165177</v>
      </c>
      <c r="M247" s="1" t="s">
        <v>74</v>
      </c>
      <c r="N247" s="1" t="s">
        <v>46</v>
      </c>
      <c r="O247" t="str">
        <f>TEXT(SalesDataset[[#This Row],[Order_Date]],"mmm")</f>
        <v>Jun</v>
      </c>
      <c r="P247" s="1" t="str">
        <f>TEXT(SalesDataset[[#This Row],[Order_Date]],"YYYY")</f>
        <v>2025</v>
      </c>
      <c r="Q247" s="1" t="str">
        <f>_xlfn.TEXTJOIN(" ",TRUE,SalesDataset[[#This Row],[First_Name]],SalesDataset[[#This Row],[Last_Name]])</f>
        <v>Maria Jacobs</v>
      </c>
    </row>
    <row r="248" spans="1:17" x14ac:dyDescent="0.25">
      <c r="A248" s="1" t="s">
        <v>1086</v>
      </c>
      <c r="B248" s="2">
        <v>46057</v>
      </c>
      <c r="C248" s="1" t="s">
        <v>1087</v>
      </c>
      <c r="D248" s="1" t="s">
        <v>1088</v>
      </c>
      <c r="E248" s="1" t="s">
        <v>1089</v>
      </c>
      <c r="F248" s="1" t="s">
        <v>1090</v>
      </c>
      <c r="G248" s="1" t="s">
        <v>19</v>
      </c>
      <c r="H248" s="1" t="s">
        <v>30</v>
      </c>
      <c r="I248" s="1" t="s">
        <v>21</v>
      </c>
      <c r="J248">
        <v>3</v>
      </c>
      <c r="K248">
        <v>61622</v>
      </c>
      <c r="L248">
        <v>184866</v>
      </c>
      <c r="M248" s="1" t="s">
        <v>86</v>
      </c>
      <c r="N248" s="1" t="s">
        <v>23</v>
      </c>
      <c r="O248" t="str">
        <f>TEXT(SalesDataset[[#This Row],[Order_Date]],"mmm")</f>
        <v>Feb</v>
      </c>
      <c r="P248" s="1" t="str">
        <f>TEXT(SalesDataset[[#This Row],[Order_Date]],"YYYY")</f>
        <v>2026</v>
      </c>
      <c r="Q248" s="1" t="str">
        <f>_xlfn.TEXTJOIN(" ",TRUE,SalesDataset[[#This Row],[First_Name]],SalesDataset[[#This Row],[Last_Name]])</f>
        <v>Abigail Hunter</v>
      </c>
    </row>
    <row r="249" spans="1:17" x14ac:dyDescent="0.25">
      <c r="A249" s="1" t="s">
        <v>1091</v>
      </c>
      <c r="B249" s="2">
        <v>46086</v>
      </c>
      <c r="C249" s="1" t="s">
        <v>1092</v>
      </c>
      <c r="D249" s="1" t="s">
        <v>1093</v>
      </c>
      <c r="E249" s="1" t="s">
        <v>920</v>
      </c>
      <c r="F249" s="1" t="s">
        <v>1094</v>
      </c>
      <c r="G249" s="1" t="s">
        <v>29</v>
      </c>
      <c r="H249" s="1" t="s">
        <v>92</v>
      </c>
      <c r="I249" s="1" t="s">
        <v>21</v>
      </c>
      <c r="J249">
        <v>1</v>
      </c>
      <c r="K249">
        <v>36618</v>
      </c>
      <c r="L249">
        <v>36618</v>
      </c>
      <c r="M249" s="1" t="s">
        <v>86</v>
      </c>
      <c r="N249" s="1" t="s">
        <v>46</v>
      </c>
      <c r="O249" t="str">
        <f>TEXT(SalesDataset[[#This Row],[Order_Date]],"mmm")</f>
        <v>Mar</v>
      </c>
      <c r="P249" s="1" t="str">
        <f>TEXT(SalesDataset[[#This Row],[Order_Date]],"YYYY")</f>
        <v>2026</v>
      </c>
      <c r="Q249" s="1" t="str">
        <f>_xlfn.TEXTJOIN(" ",TRUE,SalesDataset[[#This Row],[First_Name]],SalesDataset[[#This Row],[Last_Name]])</f>
        <v>Aaron Bird</v>
      </c>
    </row>
    <row r="250" spans="1:17" x14ac:dyDescent="0.25">
      <c r="A250" s="1" t="s">
        <v>1095</v>
      </c>
      <c r="B250" s="2">
        <v>45887</v>
      </c>
      <c r="C250" s="1" t="s">
        <v>714</v>
      </c>
      <c r="D250" s="1" t="s">
        <v>49</v>
      </c>
      <c r="E250" s="1" t="s">
        <v>1096</v>
      </c>
      <c r="F250" s="1" t="s">
        <v>1097</v>
      </c>
      <c r="G250" s="1" t="s">
        <v>102</v>
      </c>
      <c r="H250" s="1" t="s">
        <v>37</v>
      </c>
      <c r="I250" s="1" t="s">
        <v>21</v>
      </c>
      <c r="J250">
        <v>1</v>
      </c>
      <c r="K250">
        <v>4889</v>
      </c>
      <c r="L250">
        <v>4889</v>
      </c>
      <c r="M250" s="1" t="s">
        <v>74</v>
      </c>
      <c r="N250" s="1" t="s">
        <v>23</v>
      </c>
      <c r="O250" t="str">
        <f>TEXT(SalesDataset[[#This Row],[Order_Date]],"mmm")</f>
        <v>Aug</v>
      </c>
      <c r="P250" s="1" t="str">
        <f>TEXT(SalesDataset[[#This Row],[Order_Date]],"YYYY")</f>
        <v>2025</v>
      </c>
      <c r="Q250" s="1" t="str">
        <f>_xlfn.TEXTJOIN(" ",TRUE,SalesDataset[[#This Row],[First_Name]],SalesDataset[[#This Row],[Last_Name]])</f>
        <v>Eric Quinn</v>
      </c>
    </row>
    <row r="251" spans="1:17" x14ac:dyDescent="0.25">
      <c r="A251" s="1" t="s">
        <v>1098</v>
      </c>
      <c r="B251" s="2">
        <v>46073</v>
      </c>
      <c r="C251" s="1" t="s">
        <v>268</v>
      </c>
      <c r="D251" s="1" t="s">
        <v>1099</v>
      </c>
      <c r="E251" s="1" t="s">
        <v>1060</v>
      </c>
      <c r="F251" s="1" t="s">
        <v>1100</v>
      </c>
      <c r="G251" s="1" t="s">
        <v>19</v>
      </c>
      <c r="H251" s="1" t="s">
        <v>37</v>
      </c>
      <c r="I251" s="1" t="s">
        <v>21</v>
      </c>
      <c r="J251">
        <v>2</v>
      </c>
      <c r="K251">
        <v>16275</v>
      </c>
      <c r="L251">
        <v>32550</v>
      </c>
      <c r="M251" s="1" t="s">
        <v>86</v>
      </c>
      <c r="N251" s="1" t="s">
        <v>46</v>
      </c>
      <c r="O251" t="str">
        <f>TEXT(SalesDataset[[#This Row],[Order_Date]],"mmm")</f>
        <v>Feb</v>
      </c>
      <c r="P251" s="1" t="str">
        <f>TEXT(SalesDataset[[#This Row],[Order_Date]],"YYYY")</f>
        <v>2026</v>
      </c>
      <c r="Q251" s="1" t="str">
        <f>_xlfn.TEXTJOIN(" ",TRUE,SalesDataset[[#This Row],[First_Name]],SalesDataset[[#This Row],[Last_Name]])</f>
        <v>Donna Gomez</v>
      </c>
    </row>
    <row r="252" spans="1:17" x14ac:dyDescent="0.25">
      <c r="A252" s="1" t="s">
        <v>1101</v>
      </c>
      <c r="B252" s="2">
        <v>45907</v>
      </c>
      <c r="C252" s="1" t="s">
        <v>1102</v>
      </c>
      <c r="D252" s="1" t="s">
        <v>1103</v>
      </c>
      <c r="E252" s="1" t="s">
        <v>1104</v>
      </c>
      <c r="F252" s="1" t="s">
        <v>1105</v>
      </c>
      <c r="G252" s="1" t="s">
        <v>102</v>
      </c>
      <c r="H252" s="1" t="s">
        <v>30</v>
      </c>
      <c r="I252" s="1" t="s">
        <v>21</v>
      </c>
      <c r="J252">
        <v>2</v>
      </c>
      <c r="K252">
        <v>30663</v>
      </c>
      <c r="L252">
        <v>61326</v>
      </c>
      <c r="M252" s="1" t="s">
        <v>74</v>
      </c>
      <c r="N252" s="1" t="s">
        <v>23</v>
      </c>
      <c r="O252" t="str">
        <f>TEXT(SalesDataset[[#This Row],[Order_Date]],"mmm")</f>
        <v>Sep</v>
      </c>
      <c r="P252" s="1" t="str">
        <f>TEXT(SalesDataset[[#This Row],[Order_Date]],"YYYY")</f>
        <v>2025</v>
      </c>
      <c r="Q252" s="1" t="str">
        <f>_xlfn.TEXTJOIN(" ",TRUE,SalesDataset[[#This Row],[First_Name]],SalesDataset[[#This Row],[Last_Name]])</f>
        <v>Heather Powell</v>
      </c>
    </row>
    <row r="253" spans="1:17" x14ac:dyDescent="0.25">
      <c r="A253" s="1" t="s">
        <v>1106</v>
      </c>
      <c r="B253" s="2">
        <v>45823</v>
      </c>
      <c r="C253" s="1" t="s">
        <v>1107</v>
      </c>
      <c r="D253" s="1" t="s">
        <v>361</v>
      </c>
      <c r="E253" s="1" t="s">
        <v>1108</v>
      </c>
      <c r="F253" s="1" t="s">
        <v>1109</v>
      </c>
      <c r="G253" s="1" t="s">
        <v>29</v>
      </c>
      <c r="H253" s="1" t="s">
        <v>45</v>
      </c>
      <c r="I253" s="1" t="s">
        <v>21</v>
      </c>
      <c r="J253">
        <v>5</v>
      </c>
      <c r="K253">
        <v>17911</v>
      </c>
      <c r="L253">
        <v>89555</v>
      </c>
      <c r="M253" s="1" t="s">
        <v>86</v>
      </c>
      <c r="N253" s="1" t="s">
        <v>31</v>
      </c>
      <c r="O253" t="str">
        <f>TEXT(SalesDataset[[#This Row],[Order_Date]],"mmm")</f>
        <v>Jun</v>
      </c>
      <c r="P253" s="1" t="str">
        <f>TEXT(SalesDataset[[#This Row],[Order_Date]],"YYYY")</f>
        <v>2025</v>
      </c>
      <c r="Q253" s="1" t="str">
        <f>_xlfn.TEXTJOIN(" ",TRUE,SalesDataset[[#This Row],[First_Name]],SalesDataset[[#This Row],[Last_Name]])</f>
        <v>Richard Young</v>
      </c>
    </row>
    <row r="254" spans="1:17" x14ac:dyDescent="0.25">
      <c r="A254" s="1" t="s">
        <v>1110</v>
      </c>
      <c r="B254" s="2">
        <v>46039</v>
      </c>
      <c r="C254" s="1" t="s">
        <v>1111</v>
      </c>
      <c r="D254" s="1" t="s">
        <v>796</v>
      </c>
      <c r="E254" s="1" t="s">
        <v>1112</v>
      </c>
      <c r="F254" s="1" t="s">
        <v>1113</v>
      </c>
      <c r="G254" s="1" t="s">
        <v>44</v>
      </c>
      <c r="H254" s="1" t="s">
        <v>45</v>
      </c>
      <c r="I254" s="1" t="s">
        <v>21</v>
      </c>
      <c r="J254">
        <v>2</v>
      </c>
      <c r="K254">
        <v>29581</v>
      </c>
      <c r="L254">
        <v>59162</v>
      </c>
      <c r="M254" s="1" t="s">
        <v>22</v>
      </c>
      <c r="N254" s="1" t="s">
        <v>31</v>
      </c>
      <c r="O254" t="str">
        <f>TEXT(SalesDataset[[#This Row],[Order_Date]],"mmm")</f>
        <v>Jan</v>
      </c>
      <c r="P254" s="1" t="str">
        <f>TEXT(SalesDataset[[#This Row],[Order_Date]],"YYYY")</f>
        <v>2026</v>
      </c>
      <c r="Q254" s="1" t="str">
        <f>_xlfn.TEXTJOIN(" ",TRUE,SalesDataset[[#This Row],[First_Name]],SalesDataset[[#This Row],[Last_Name]])</f>
        <v>Lauren Rosales</v>
      </c>
    </row>
    <row r="255" spans="1:17" x14ac:dyDescent="0.25">
      <c r="A255" s="1" t="s">
        <v>1114</v>
      </c>
      <c r="B255" s="2">
        <v>46000</v>
      </c>
      <c r="C255" s="1" t="s">
        <v>1115</v>
      </c>
      <c r="D255" s="1" t="s">
        <v>706</v>
      </c>
      <c r="E255" s="1" t="s">
        <v>131</v>
      </c>
      <c r="F255" s="1" t="s">
        <v>1116</v>
      </c>
      <c r="G255" s="1" t="s">
        <v>19</v>
      </c>
      <c r="H255" s="1" t="s">
        <v>62</v>
      </c>
      <c r="I255" s="1" t="s">
        <v>21</v>
      </c>
      <c r="J255">
        <v>2</v>
      </c>
      <c r="K255">
        <v>56603</v>
      </c>
      <c r="L255">
        <v>113206</v>
      </c>
      <c r="M255" s="1" t="s">
        <v>63</v>
      </c>
      <c r="N255" s="1" t="s">
        <v>23</v>
      </c>
      <c r="O255" t="str">
        <f>TEXT(SalesDataset[[#This Row],[Order_Date]],"mmm")</f>
        <v>Dec</v>
      </c>
      <c r="P255" s="1" t="str">
        <f>TEXT(SalesDataset[[#This Row],[Order_Date]],"YYYY")</f>
        <v>2025</v>
      </c>
      <c r="Q255" s="1" t="str">
        <f>_xlfn.TEXTJOIN(" ",TRUE,SalesDataset[[#This Row],[First_Name]],SalesDataset[[#This Row],[Last_Name]])</f>
        <v>Michelle Smith</v>
      </c>
    </row>
    <row r="256" spans="1:17" x14ac:dyDescent="0.25">
      <c r="A256" s="1" t="s">
        <v>1117</v>
      </c>
      <c r="B256" s="2">
        <v>46004</v>
      </c>
      <c r="C256" s="1" t="s">
        <v>1118</v>
      </c>
      <c r="D256" s="1" t="s">
        <v>806</v>
      </c>
      <c r="E256" s="1" t="s">
        <v>1119</v>
      </c>
      <c r="F256" s="1" t="s">
        <v>1120</v>
      </c>
      <c r="G256" s="1" t="s">
        <v>44</v>
      </c>
      <c r="H256" s="1" t="s">
        <v>45</v>
      </c>
      <c r="I256" s="1" t="s">
        <v>21</v>
      </c>
      <c r="J256">
        <v>5</v>
      </c>
      <c r="K256">
        <v>38879</v>
      </c>
      <c r="L256">
        <v>194395</v>
      </c>
      <c r="M256" s="1" t="s">
        <v>22</v>
      </c>
      <c r="N256" s="1" t="s">
        <v>31</v>
      </c>
      <c r="O256" t="str">
        <f>TEXT(SalesDataset[[#This Row],[Order_Date]],"mmm")</f>
        <v>Dec</v>
      </c>
      <c r="P256" s="1" t="str">
        <f>TEXT(SalesDataset[[#This Row],[Order_Date]],"YYYY")</f>
        <v>2025</v>
      </c>
      <c r="Q256" s="1" t="str">
        <f>_xlfn.TEXTJOIN(" ",TRUE,SalesDataset[[#This Row],[First_Name]],SalesDataset[[#This Row],[Last_Name]])</f>
        <v>Peter Lloyd</v>
      </c>
    </row>
    <row r="257" spans="1:17" x14ac:dyDescent="0.25">
      <c r="A257" s="1" t="s">
        <v>1121</v>
      </c>
      <c r="B257" s="2">
        <v>45931</v>
      </c>
      <c r="C257" s="1" t="s">
        <v>1122</v>
      </c>
      <c r="D257" s="1" t="s">
        <v>273</v>
      </c>
      <c r="E257" s="1" t="s">
        <v>1123</v>
      </c>
      <c r="F257" s="1" t="s">
        <v>1124</v>
      </c>
      <c r="G257" s="1" t="s">
        <v>29</v>
      </c>
      <c r="H257" s="1" t="s">
        <v>30</v>
      </c>
      <c r="I257" s="1" t="s">
        <v>21</v>
      </c>
      <c r="J257">
        <v>4</v>
      </c>
      <c r="K257">
        <v>55364</v>
      </c>
      <c r="L257">
        <v>221456</v>
      </c>
      <c r="M257" s="1" t="s">
        <v>22</v>
      </c>
      <c r="N257" s="1" t="s">
        <v>46</v>
      </c>
      <c r="O257" t="str">
        <f>TEXT(SalesDataset[[#This Row],[Order_Date]],"mmm")</f>
        <v>Oct</v>
      </c>
      <c r="P257" s="1" t="str">
        <f>TEXT(SalesDataset[[#This Row],[Order_Date]],"YYYY")</f>
        <v>2025</v>
      </c>
      <c r="Q257" s="1" t="str">
        <f>_xlfn.TEXTJOIN(" ",TRUE,SalesDataset[[#This Row],[First_Name]],SalesDataset[[#This Row],[Last_Name]])</f>
        <v>Robert Nelson</v>
      </c>
    </row>
    <row r="258" spans="1:17" x14ac:dyDescent="0.25">
      <c r="A258" s="1" t="s">
        <v>1125</v>
      </c>
      <c r="B258" s="2">
        <v>45951</v>
      </c>
      <c r="C258" s="1" t="s">
        <v>1126</v>
      </c>
      <c r="D258" s="1" t="s">
        <v>1127</v>
      </c>
      <c r="E258" s="1" t="s">
        <v>1128</v>
      </c>
      <c r="F258" s="1" t="s">
        <v>1129</v>
      </c>
      <c r="G258" s="1" t="s">
        <v>29</v>
      </c>
      <c r="H258" s="1" t="s">
        <v>92</v>
      </c>
      <c r="I258" s="1" t="s">
        <v>21</v>
      </c>
      <c r="J258">
        <v>4</v>
      </c>
      <c r="K258">
        <v>62313</v>
      </c>
      <c r="L258">
        <v>249252</v>
      </c>
      <c r="M258" s="1" t="s">
        <v>22</v>
      </c>
      <c r="N258" s="1" t="s">
        <v>31</v>
      </c>
      <c r="O258" t="str">
        <f>TEXT(SalesDataset[[#This Row],[Order_Date]],"mmm")</f>
        <v>Oct</v>
      </c>
      <c r="P258" s="1" t="str">
        <f>TEXT(SalesDataset[[#This Row],[Order_Date]],"YYYY")</f>
        <v>2025</v>
      </c>
      <c r="Q258" s="1" t="str">
        <f>_xlfn.TEXTJOIN(" ",TRUE,SalesDataset[[#This Row],[First_Name]],SalesDataset[[#This Row],[Last_Name]])</f>
        <v>Tara Huynh</v>
      </c>
    </row>
    <row r="259" spans="1:17" x14ac:dyDescent="0.25">
      <c r="A259" s="1" t="s">
        <v>1130</v>
      </c>
      <c r="B259" s="2">
        <v>45844</v>
      </c>
      <c r="C259" s="1" t="s">
        <v>1131</v>
      </c>
      <c r="D259" s="1" t="s">
        <v>164</v>
      </c>
      <c r="E259" s="1" t="s">
        <v>1132</v>
      </c>
      <c r="F259" s="1" t="s">
        <v>1133</v>
      </c>
      <c r="G259" s="1" t="s">
        <v>102</v>
      </c>
      <c r="H259" s="1" t="s">
        <v>37</v>
      </c>
      <c r="I259" s="1" t="s">
        <v>21</v>
      </c>
      <c r="J259">
        <v>4</v>
      </c>
      <c r="K259">
        <v>53140</v>
      </c>
      <c r="L259">
        <v>212560</v>
      </c>
      <c r="M259" s="1" t="s">
        <v>22</v>
      </c>
      <c r="N259" s="1" t="s">
        <v>31</v>
      </c>
      <c r="O259" t="str">
        <f>TEXT(SalesDataset[[#This Row],[Order_Date]],"mmm")</f>
        <v>Jul</v>
      </c>
      <c r="P259" s="1" t="str">
        <f>TEXT(SalesDataset[[#This Row],[Order_Date]],"YYYY")</f>
        <v>2025</v>
      </c>
      <c r="Q259" s="1" t="str">
        <f>_xlfn.TEXTJOIN(" ",TRUE,SalesDataset[[#This Row],[First_Name]],SalesDataset[[#This Row],[Last_Name]])</f>
        <v>Teresa Schwartz</v>
      </c>
    </row>
    <row r="260" spans="1:17" x14ac:dyDescent="0.25">
      <c r="A260" s="1" t="s">
        <v>1134</v>
      </c>
      <c r="B260" s="2">
        <v>46076</v>
      </c>
      <c r="C260" s="1" t="s">
        <v>1135</v>
      </c>
      <c r="D260" s="1" t="s">
        <v>642</v>
      </c>
      <c r="E260" s="1" t="s">
        <v>517</v>
      </c>
      <c r="F260" s="1" t="s">
        <v>1109</v>
      </c>
      <c r="G260" s="1" t="s">
        <v>19</v>
      </c>
      <c r="H260" s="1" t="s">
        <v>92</v>
      </c>
      <c r="I260" s="1" t="s">
        <v>21</v>
      </c>
      <c r="J260">
        <v>4</v>
      </c>
      <c r="K260">
        <v>36064</v>
      </c>
      <c r="L260">
        <v>144256</v>
      </c>
      <c r="M260" s="1" t="s">
        <v>86</v>
      </c>
      <c r="N260" s="1" t="s">
        <v>23</v>
      </c>
      <c r="O260" t="str">
        <f>TEXT(SalesDataset[[#This Row],[Order_Date]],"mmm")</f>
        <v>Feb</v>
      </c>
      <c r="P260" s="1" t="str">
        <f>TEXT(SalesDataset[[#This Row],[Order_Date]],"YYYY")</f>
        <v>2026</v>
      </c>
      <c r="Q260" s="1" t="str">
        <f>_xlfn.TEXTJOIN(" ",TRUE,SalesDataset[[#This Row],[First_Name]],SalesDataset[[#This Row],[Last_Name]])</f>
        <v>Andrew Rodriguez</v>
      </c>
    </row>
    <row r="261" spans="1:17" x14ac:dyDescent="0.25">
      <c r="A261" s="1" t="s">
        <v>1136</v>
      </c>
      <c r="B261" s="2">
        <v>45895</v>
      </c>
      <c r="C261" s="1" t="s">
        <v>1137</v>
      </c>
      <c r="D261" s="1" t="s">
        <v>1138</v>
      </c>
      <c r="E261" s="1" t="s">
        <v>1104</v>
      </c>
      <c r="F261" s="1" t="s">
        <v>1139</v>
      </c>
      <c r="G261" s="1" t="s">
        <v>19</v>
      </c>
      <c r="H261" s="1" t="s">
        <v>37</v>
      </c>
      <c r="I261" s="1" t="s">
        <v>21</v>
      </c>
      <c r="J261">
        <v>4</v>
      </c>
      <c r="K261">
        <v>52768</v>
      </c>
      <c r="L261">
        <v>211072</v>
      </c>
      <c r="M261" s="1" t="s">
        <v>22</v>
      </c>
      <c r="N261" s="1" t="s">
        <v>23</v>
      </c>
      <c r="O261" t="str">
        <f>TEXT(SalesDataset[[#This Row],[Order_Date]],"mmm")</f>
        <v>Aug</v>
      </c>
      <c r="P261" s="1" t="str">
        <f>TEXT(SalesDataset[[#This Row],[Order_Date]],"YYYY")</f>
        <v>2025</v>
      </c>
      <c r="Q261" s="1" t="str">
        <f>_xlfn.TEXTJOIN(" ",TRUE,SalesDataset[[#This Row],[First_Name]],SalesDataset[[#This Row],[Last_Name]])</f>
        <v>Shannon Powell</v>
      </c>
    </row>
    <row r="262" spans="1:17" x14ac:dyDescent="0.25">
      <c r="A262" s="1" t="s">
        <v>1140</v>
      </c>
      <c r="B262" s="2">
        <v>46056</v>
      </c>
      <c r="C262" s="1" t="s">
        <v>1141</v>
      </c>
      <c r="D262" s="1" t="s">
        <v>1138</v>
      </c>
      <c r="E262" s="1" t="s">
        <v>131</v>
      </c>
      <c r="F262" s="1" t="s">
        <v>1142</v>
      </c>
      <c r="G262" s="1" t="s">
        <v>44</v>
      </c>
      <c r="H262" s="1" t="s">
        <v>92</v>
      </c>
      <c r="I262" s="1" t="s">
        <v>21</v>
      </c>
      <c r="J262">
        <v>4</v>
      </c>
      <c r="K262">
        <v>10659</v>
      </c>
      <c r="L262">
        <v>42636</v>
      </c>
      <c r="M262" s="1" t="s">
        <v>86</v>
      </c>
      <c r="N262" s="1" t="s">
        <v>46</v>
      </c>
      <c r="O262" t="str">
        <f>TEXT(SalesDataset[[#This Row],[Order_Date]],"mmm")</f>
        <v>Feb</v>
      </c>
      <c r="P262" s="1" t="str">
        <f>TEXT(SalesDataset[[#This Row],[Order_Date]],"YYYY")</f>
        <v>2026</v>
      </c>
      <c r="Q262" s="1" t="str">
        <f>_xlfn.TEXTJOIN(" ",TRUE,SalesDataset[[#This Row],[First_Name]],SalesDataset[[#This Row],[Last_Name]])</f>
        <v>Shannon Smith</v>
      </c>
    </row>
    <row r="263" spans="1:17" x14ac:dyDescent="0.25">
      <c r="A263" s="1" t="s">
        <v>1143</v>
      </c>
      <c r="B263" s="2">
        <v>45852</v>
      </c>
      <c r="C263" s="1" t="s">
        <v>1144</v>
      </c>
      <c r="D263" s="1" t="s">
        <v>521</v>
      </c>
      <c r="E263" s="1" t="s">
        <v>940</v>
      </c>
      <c r="F263" s="1" t="s">
        <v>1145</v>
      </c>
      <c r="G263" s="1" t="s">
        <v>102</v>
      </c>
      <c r="H263" s="1" t="s">
        <v>80</v>
      </c>
      <c r="I263" s="1" t="s">
        <v>21</v>
      </c>
      <c r="J263">
        <v>3</v>
      </c>
      <c r="K263">
        <v>27638</v>
      </c>
      <c r="L263">
        <v>82914</v>
      </c>
      <c r="M263" s="1" t="s">
        <v>86</v>
      </c>
      <c r="N263" s="1" t="s">
        <v>31</v>
      </c>
      <c r="O263" t="str">
        <f>TEXT(SalesDataset[[#This Row],[Order_Date]],"mmm")</f>
        <v>Jul</v>
      </c>
      <c r="P263" s="1" t="str">
        <f>TEXT(SalesDataset[[#This Row],[Order_Date]],"YYYY")</f>
        <v>2025</v>
      </c>
      <c r="Q263" s="1" t="str">
        <f>_xlfn.TEXTJOIN(" ",TRUE,SalesDataset[[#This Row],[First_Name]],SalesDataset[[#This Row],[Last_Name]])</f>
        <v>Kevin Brown</v>
      </c>
    </row>
    <row r="264" spans="1:17" x14ac:dyDescent="0.25">
      <c r="A264" s="1" t="s">
        <v>1146</v>
      </c>
      <c r="B264" s="2">
        <v>45973</v>
      </c>
      <c r="C264" s="1" t="s">
        <v>1147</v>
      </c>
      <c r="D264" s="1" t="s">
        <v>378</v>
      </c>
      <c r="E264" s="1" t="s">
        <v>1148</v>
      </c>
      <c r="F264" s="1" t="s">
        <v>1149</v>
      </c>
      <c r="G264" s="1" t="s">
        <v>44</v>
      </c>
      <c r="H264" s="1" t="s">
        <v>30</v>
      </c>
      <c r="I264" s="1" t="s">
        <v>21</v>
      </c>
      <c r="J264">
        <v>2</v>
      </c>
      <c r="K264">
        <v>48122</v>
      </c>
      <c r="L264">
        <v>96244</v>
      </c>
      <c r="M264" s="1" t="s">
        <v>86</v>
      </c>
      <c r="N264" s="1" t="s">
        <v>23</v>
      </c>
      <c r="O264" t="str">
        <f>TEXT(SalesDataset[[#This Row],[Order_Date]],"mmm")</f>
        <v>Nov</v>
      </c>
      <c r="P264" s="1" t="str">
        <f>TEXT(SalesDataset[[#This Row],[Order_Date]],"YYYY")</f>
        <v>2025</v>
      </c>
      <c r="Q264" s="1" t="str">
        <f>_xlfn.TEXTJOIN(" ",TRUE,SalesDataset[[#This Row],[First_Name]],SalesDataset[[#This Row],[Last_Name]])</f>
        <v>Brian Patterson</v>
      </c>
    </row>
    <row r="265" spans="1:17" x14ac:dyDescent="0.25">
      <c r="A265" s="1" t="s">
        <v>1150</v>
      </c>
      <c r="B265" s="2">
        <v>46104</v>
      </c>
      <c r="C265" s="1" t="s">
        <v>1151</v>
      </c>
      <c r="D265" s="1" t="s">
        <v>297</v>
      </c>
      <c r="E265" s="1" t="s">
        <v>1152</v>
      </c>
      <c r="F265" s="1" t="s">
        <v>1153</v>
      </c>
      <c r="G265" s="1" t="s">
        <v>19</v>
      </c>
      <c r="H265" s="1" t="s">
        <v>30</v>
      </c>
      <c r="I265" s="1" t="s">
        <v>21</v>
      </c>
      <c r="J265">
        <v>5</v>
      </c>
      <c r="K265">
        <v>67055</v>
      </c>
      <c r="L265">
        <v>335275</v>
      </c>
      <c r="M265" s="1" t="s">
        <v>22</v>
      </c>
      <c r="N265" s="1" t="s">
        <v>46</v>
      </c>
      <c r="O265" t="str">
        <f>TEXT(SalesDataset[[#This Row],[Order_Date]],"mmm")</f>
        <v>Mar</v>
      </c>
      <c r="P265" s="1" t="str">
        <f>TEXT(SalesDataset[[#This Row],[Order_Date]],"YYYY")</f>
        <v>2026</v>
      </c>
      <c r="Q265" s="1" t="str">
        <f>_xlfn.TEXTJOIN(" ",TRUE,SalesDataset[[#This Row],[First_Name]],SalesDataset[[#This Row],[Last_Name]])</f>
        <v>Crystal Mcdonald</v>
      </c>
    </row>
    <row r="266" spans="1:17" x14ac:dyDescent="0.25">
      <c r="A266" s="1" t="s">
        <v>1154</v>
      </c>
      <c r="B266" s="2">
        <v>46055</v>
      </c>
      <c r="C266" s="1" t="s">
        <v>1155</v>
      </c>
      <c r="D266" s="1" t="s">
        <v>1156</v>
      </c>
      <c r="E266" s="1" t="s">
        <v>106</v>
      </c>
      <c r="F266" s="1" t="s">
        <v>1157</v>
      </c>
      <c r="G266" s="1" t="s">
        <v>19</v>
      </c>
      <c r="H266" s="1" t="s">
        <v>20</v>
      </c>
      <c r="I266" s="1" t="s">
        <v>21</v>
      </c>
      <c r="J266">
        <v>2</v>
      </c>
      <c r="K266">
        <v>33093</v>
      </c>
      <c r="L266">
        <v>66186</v>
      </c>
      <c r="M266" s="1" t="s">
        <v>63</v>
      </c>
      <c r="N266" s="1" t="s">
        <v>31</v>
      </c>
      <c r="O266" t="str">
        <f>TEXT(SalesDataset[[#This Row],[Order_Date]],"mmm")</f>
        <v>Feb</v>
      </c>
      <c r="P266" s="1" t="str">
        <f>TEXT(SalesDataset[[#This Row],[Order_Date]],"YYYY")</f>
        <v>2026</v>
      </c>
      <c r="Q266" s="1" t="str">
        <f>_xlfn.TEXTJOIN(" ",TRUE,SalesDataset[[#This Row],[First_Name]],SalesDataset[[#This Row],[Last_Name]])</f>
        <v>Shelley Gutierrez</v>
      </c>
    </row>
    <row r="267" spans="1:17" x14ac:dyDescent="0.25">
      <c r="A267" s="1" t="s">
        <v>1158</v>
      </c>
      <c r="B267" s="2">
        <v>46099</v>
      </c>
      <c r="C267" s="1" t="s">
        <v>124</v>
      </c>
      <c r="D267" s="1" t="s">
        <v>1159</v>
      </c>
      <c r="E267" s="1" t="s">
        <v>1160</v>
      </c>
      <c r="F267" s="1" t="s">
        <v>1161</v>
      </c>
      <c r="G267" s="1" t="s">
        <v>102</v>
      </c>
      <c r="H267" s="1" t="s">
        <v>92</v>
      </c>
      <c r="I267" s="1" t="s">
        <v>21</v>
      </c>
      <c r="J267">
        <v>3</v>
      </c>
      <c r="K267">
        <v>32839</v>
      </c>
      <c r="L267">
        <v>98517</v>
      </c>
      <c r="M267" s="1" t="s">
        <v>63</v>
      </c>
      <c r="N267" s="1" t="s">
        <v>31</v>
      </c>
      <c r="O267" t="str">
        <f>TEXT(SalesDataset[[#This Row],[Order_Date]],"mmm")</f>
        <v>Mar</v>
      </c>
      <c r="P267" s="1" t="str">
        <f>TEXT(SalesDataset[[#This Row],[Order_Date]],"YYYY")</f>
        <v>2026</v>
      </c>
      <c r="Q267" s="1" t="str">
        <f>_xlfn.TEXTJOIN(" ",TRUE,SalesDataset[[#This Row],[First_Name]],SalesDataset[[#This Row],[Last_Name]])</f>
        <v>Leroy Yu</v>
      </c>
    </row>
    <row r="268" spans="1:17" x14ac:dyDescent="0.25">
      <c r="A268" s="1" t="s">
        <v>1162</v>
      </c>
      <c r="B268" s="2">
        <v>46011</v>
      </c>
      <c r="C268" s="1" t="s">
        <v>1163</v>
      </c>
      <c r="D268" s="1" t="s">
        <v>1127</v>
      </c>
      <c r="E268" s="1" t="s">
        <v>1123</v>
      </c>
      <c r="F268" s="1" t="s">
        <v>1164</v>
      </c>
      <c r="G268" s="1" t="s">
        <v>44</v>
      </c>
      <c r="H268" s="1" t="s">
        <v>37</v>
      </c>
      <c r="I268" s="1" t="s">
        <v>21</v>
      </c>
      <c r="J268">
        <v>3</v>
      </c>
      <c r="K268">
        <v>30805</v>
      </c>
      <c r="L268">
        <v>92415</v>
      </c>
      <c r="M268" s="1" t="s">
        <v>86</v>
      </c>
      <c r="N268" s="1" t="s">
        <v>23</v>
      </c>
      <c r="O268" t="str">
        <f>TEXT(SalesDataset[[#This Row],[Order_Date]],"mmm")</f>
        <v>Dec</v>
      </c>
      <c r="P268" s="1" t="str">
        <f>TEXT(SalesDataset[[#This Row],[Order_Date]],"YYYY")</f>
        <v>2025</v>
      </c>
      <c r="Q268" s="1" t="str">
        <f>_xlfn.TEXTJOIN(" ",TRUE,SalesDataset[[#This Row],[First_Name]],SalesDataset[[#This Row],[Last_Name]])</f>
        <v>Tara Nelson</v>
      </c>
    </row>
    <row r="269" spans="1:17" x14ac:dyDescent="0.25">
      <c r="A269" s="1" t="s">
        <v>1165</v>
      </c>
      <c r="B269" s="2">
        <v>45921</v>
      </c>
      <c r="C269" s="1" t="s">
        <v>1166</v>
      </c>
      <c r="D269" s="1" t="s">
        <v>145</v>
      </c>
      <c r="E269" s="1" t="s">
        <v>1167</v>
      </c>
      <c r="F269" s="1" t="s">
        <v>1168</v>
      </c>
      <c r="G269" s="1" t="s">
        <v>44</v>
      </c>
      <c r="H269" s="1" t="s">
        <v>45</v>
      </c>
      <c r="I269" s="1" t="s">
        <v>21</v>
      </c>
      <c r="J269">
        <v>3</v>
      </c>
      <c r="K269">
        <v>45197</v>
      </c>
      <c r="L269">
        <v>135591</v>
      </c>
      <c r="M269" s="1" t="s">
        <v>22</v>
      </c>
      <c r="N269" s="1" t="s">
        <v>23</v>
      </c>
      <c r="O269" t="str">
        <f>TEXT(SalesDataset[[#This Row],[Order_Date]],"mmm")</f>
        <v>Sep</v>
      </c>
      <c r="P269" s="1" t="str">
        <f>TEXT(SalesDataset[[#This Row],[Order_Date]],"YYYY")</f>
        <v>2025</v>
      </c>
      <c r="Q269" s="1" t="str">
        <f>_xlfn.TEXTJOIN(" ",TRUE,SalesDataset[[#This Row],[First_Name]],SalesDataset[[#This Row],[Last_Name]])</f>
        <v>Lisa Cruz</v>
      </c>
    </row>
    <row r="270" spans="1:17" x14ac:dyDescent="0.25">
      <c r="A270" s="1" t="s">
        <v>1169</v>
      </c>
      <c r="B270" s="2">
        <v>45863</v>
      </c>
      <c r="C270" s="1" t="s">
        <v>337</v>
      </c>
      <c r="D270" s="1" t="s">
        <v>561</v>
      </c>
      <c r="E270" s="1" t="s">
        <v>1170</v>
      </c>
      <c r="F270" s="1" t="s">
        <v>1171</v>
      </c>
      <c r="G270" s="1" t="s">
        <v>19</v>
      </c>
      <c r="H270" s="1" t="s">
        <v>80</v>
      </c>
      <c r="I270" s="1" t="s">
        <v>21</v>
      </c>
      <c r="J270">
        <v>2</v>
      </c>
      <c r="K270">
        <v>43396</v>
      </c>
      <c r="L270">
        <v>86792</v>
      </c>
      <c r="M270" s="1" t="s">
        <v>22</v>
      </c>
      <c r="N270" s="1" t="s">
        <v>31</v>
      </c>
      <c r="O270" t="str">
        <f>TEXT(SalesDataset[[#This Row],[Order_Date]],"mmm")</f>
        <v>Jul</v>
      </c>
      <c r="P270" s="1" t="str">
        <f>TEXT(SalesDataset[[#This Row],[Order_Date]],"YYYY")</f>
        <v>2025</v>
      </c>
      <c r="Q270" s="1" t="str">
        <f>_xlfn.TEXTJOIN(" ",TRUE,SalesDataset[[#This Row],[First_Name]],SalesDataset[[#This Row],[Last_Name]])</f>
        <v>Mary Burns</v>
      </c>
    </row>
    <row r="271" spans="1:17" x14ac:dyDescent="0.25">
      <c r="A271" s="1" t="s">
        <v>1172</v>
      </c>
      <c r="B271" s="2">
        <v>46053</v>
      </c>
      <c r="C271" s="1" t="s">
        <v>543</v>
      </c>
      <c r="D271" s="1" t="s">
        <v>642</v>
      </c>
      <c r="E271" s="1" t="s">
        <v>1173</v>
      </c>
      <c r="F271" s="1" t="s">
        <v>1174</v>
      </c>
      <c r="G271" s="1" t="s">
        <v>102</v>
      </c>
      <c r="H271" s="1" t="s">
        <v>20</v>
      </c>
      <c r="I271" s="1" t="s">
        <v>21</v>
      </c>
      <c r="J271">
        <v>3</v>
      </c>
      <c r="K271">
        <v>37283</v>
      </c>
      <c r="L271">
        <v>111849</v>
      </c>
      <c r="M271" s="1" t="s">
        <v>63</v>
      </c>
      <c r="N271" s="1" t="s">
        <v>31</v>
      </c>
      <c r="O271" t="str">
        <f>TEXT(SalesDataset[[#This Row],[Order_Date]],"mmm")</f>
        <v>Jan</v>
      </c>
      <c r="P271" s="1" t="str">
        <f>TEXT(SalesDataset[[#This Row],[Order_Date]],"YYYY")</f>
        <v>2026</v>
      </c>
      <c r="Q271" s="1" t="str">
        <f>_xlfn.TEXTJOIN(" ",TRUE,SalesDataset[[#This Row],[First_Name]],SalesDataset[[#This Row],[Last_Name]])</f>
        <v>Andrew Peters</v>
      </c>
    </row>
    <row r="272" spans="1:17" x14ac:dyDescent="0.25">
      <c r="A272" s="1" t="s">
        <v>1175</v>
      </c>
      <c r="B272" s="2">
        <v>45787</v>
      </c>
      <c r="C272" s="1" t="s">
        <v>841</v>
      </c>
      <c r="D272" s="1" t="s">
        <v>775</v>
      </c>
      <c r="E272" s="1" t="s">
        <v>1176</v>
      </c>
      <c r="F272" s="1" t="s">
        <v>1177</v>
      </c>
      <c r="G272" s="1" t="s">
        <v>19</v>
      </c>
      <c r="H272" s="1" t="s">
        <v>92</v>
      </c>
      <c r="I272" s="1" t="s">
        <v>21</v>
      </c>
      <c r="J272">
        <v>1</v>
      </c>
      <c r="K272">
        <v>27022</v>
      </c>
      <c r="L272">
        <v>27022</v>
      </c>
      <c r="M272" s="1" t="s">
        <v>74</v>
      </c>
      <c r="N272" s="1" t="s">
        <v>46</v>
      </c>
      <c r="O272" t="str">
        <f>TEXT(SalesDataset[[#This Row],[Order_Date]],"mmm")</f>
        <v>May</v>
      </c>
      <c r="P272" s="1" t="str">
        <f>TEXT(SalesDataset[[#This Row],[Order_Date]],"YYYY")</f>
        <v>2025</v>
      </c>
      <c r="Q272" s="1" t="str">
        <f>_xlfn.TEXTJOIN(" ",TRUE,SalesDataset[[#This Row],[First_Name]],SalesDataset[[#This Row],[Last_Name]])</f>
        <v>Elizabeth Jordan</v>
      </c>
    </row>
    <row r="273" spans="1:17" x14ac:dyDescent="0.25">
      <c r="A273" s="1" t="s">
        <v>1178</v>
      </c>
      <c r="B273" s="2">
        <v>45917</v>
      </c>
      <c r="C273" s="1" t="s">
        <v>1179</v>
      </c>
      <c r="D273" s="1" t="s">
        <v>1180</v>
      </c>
      <c r="E273" s="1" t="s">
        <v>1181</v>
      </c>
      <c r="F273" s="1" t="s">
        <v>1182</v>
      </c>
      <c r="G273" s="1" t="s">
        <v>29</v>
      </c>
      <c r="H273" s="1" t="s">
        <v>45</v>
      </c>
      <c r="I273" s="1" t="s">
        <v>21</v>
      </c>
      <c r="J273">
        <v>2</v>
      </c>
      <c r="K273">
        <v>28334</v>
      </c>
      <c r="L273">
        <v>56668</v>
      </c>
      <c r="M273" s="1" t="s">
        <v>86</v>
      </c>
      <c r="N273" s="1" t="s">
        <v>23</v>
      </c>
      <c r="O273" t="str">
        <f>TEXT(SalesDataset[[#This Row],[Order_Date]],"mmm")</f>
        <v>Sep</v>
      </c>
      <c r="P273" s="1" t="str">
        <f>TEXT(SalesDataset[[#This Row],[Order_Date]],"YYYY")</f>
        <v>2025</v>
      </c>
      <c r="Q273" s="1" t="str">
        <f>_xlfn.TEXTJOIN(" ",TRUE,SalesDataset[[#This Row],[First_Name]],SalesDataset[[#This Row],[Last_Name]])</f>
        <v>Deborah Matthews</v>
      </c>
    </row>
    <row r="274" spans="1:17" x14ac:dyDescent="0.25">
      <c r="A274" s="1" t="s">
        <v>1183</v>
      </c>
      <c r="B274" s="2">
        <v>46091</v>
      </c>
      <c r="C274" s="1" t="s">
        <v>1184</v>
      </c>
      <c r="D274" s="1" t="s">
        <v>397</v>
      </c>
      <c r="E274" s="1" t="s">
        <v>131</v>
      </c>
      <c r="F274" s="1" t="s">
        <v>1185</v>
      </c>
      <c r="G274" s="1" t="s">
        <v>102</v>
      </c>
      <c r="H274" s="1" t="s">
        <v>92</v>
      </c>
      <c r="I274" s="1" t="s">
        <v>21</v>
      </c>
      <c r="J274">
        <v>2</v>
      </c>
      <c r="K274">
        <v>16444</v>
      </c>
      <c r="L274">
        <v>32888</v>
      </c>
      <c r="M274" s="1" t="s">
        <v>22</v>
      </c>
      <c r="N274" s="1" t="s">
        <v>31</v>
      </c>
      <c r="O274" t="str">
        <f>TEXT(SalesDataset[[#This Row],[Order_Date]],"mmm")</f>
        <v>Mar</v>
      </c>
      <c r="P274" s="1" t="str">
        <f>TEXT(SalesDataset[[#This Row],[Order_Date]],"YYYY")</f>
        <v>2026</v>
      </c>
      <c r="Q274" s="1" t="str">
        <f>_xlfn.TEXTJOIN(" ",TRUE,SalesDataset[[#This Row],[First_Name]],SalesDataset[[#This Row],[Last_Name]])</f>
        <v>Christy Smith</v>
      </c>
    </row>
    <row r="275" spans="1:17" x14ac:dyDescent="0.25">
      <c r="A275" s="1" t="s">
        <v>1186</v>
      </c>
      <c r="B275" s="2">
        <v>45909</v>
      </c>
      <c r="C275" s="1" t="s">
        <v>1187</v>
      </c>
      <c r="D275" s="1" t="s">
        <v>859</v>
      </c>
      <c r="E275" s="1" t="s">
        <v>1188</v>
      </c>
      <c r="F275" s="1" t="s">
        <v>1189</v>
      </c>
      <c r="G275" s="1" t="s">
        <v>44</v>
      </c>
      <c r="H275" s="1" t="s">
        <v>92</v>
      </c>
      <c r="I275" s="1" t="s">
        <v>21</v>
      </c>
      <c r="J275">
        <v>2</v>
      </c>
      <c r="K275">
        <v>27390</v>
      </c>
      <c r="L275">
        <v>54780</v>
      </c>
      <c r="M275" s="1" t="s">
        <v>22</v>
      </c>
      <c r="N275" s="1" t="s">
        <v>46</v>
      </c>
      <c r="O275" t="str">
        <f>TEXT(SalesDataset[[#This Row],[Order_Date]],"mmm")</f>
        <v>Sep</v>
      </c>
      <c r="P275" s="1" t="str">
        <f>TEXT(SalesDataset[[#This Row],[Order_Date]],"YYYY")</f>
        <v>2025</v>
      </c>
      <c r="Q275" s="1" t="str">
        <f>_xlfn.TEXTJOIN(" ",TRUE,SalesDataset[[#This Row],[First_Name]],SalesDataset[[#This Row],[Last_Name]])</f>
        <v>John Owens</v>
      </c>
    </row>
    <row r="276" spans="1:17" x14ac:dyDescent="0.25">
      <c r="A276" s="1" t="s">
        <v>1190</v>
      </c>
      <c r="B276" s="2">
        <v>46119</v>
      </c>
      <c r="C276" s="1" t="s">
        <v>1191</v>
      </c>
      <c r="D276" s="1" t="s">
        <v>120</v>
      </c>
      <c r="E276" s="1" t="s">
        <v>1192</v>
      </c>
      <c r="F276" s="1" t="s">
        <v>1193</v>
      </c>
      <c r="G276" s="1" t="s">
        <v>102</v>
      </c>
      <c r="H276" s="1" t="s">
        <v>80</v>
      </c>
      <c r="I276" s="1" t="s">
        <v>21</v>
      </c>
      <c r="J276">
        <v>4</v>
      </c>
      <c r="K276">
        <v>21694</v>
      </c>
      <c r="L276">
        <v>86776</v>
      </c>
      <c r="M276" s="1" t="s">
        <v>74</v>
      </c>
      <c r="N276" s="1" t="s">
        <v>46</v>
      </c>
      <c r="O276" t="str">
        <f>TEXT(SalesDataset[[#This Row],[Order_Date]],"mmm")</f>
        <v>Apr</v>
      </c>
      <c r="P276" s="1" t="str">
        <f>TEXT(SalesDataset[[#This Row],[Order_Date]],"YYYY")</f>
        <v>2026</v>
      </c>
      <c r="Q276" s="1" t="str">
        <f>_xlfn.TEXTJOIN(" ",TRUE,SalesDataset[[#This Row],[First_Name]],SalesDataset[[#This Row],[Last_Name]])</f>
        <v>Timothy Cooke</v>
      </c>
    </row>
    <row r="277" spans="1:17" x14ac:dyDescent="0.25">
      <c r="A277" s="1" t="s">
        <v>1194</v>
      </c>
      <c r="B277" s="2">
        <v>46082</v>
      </c>
      <c r="C277" s="1" t="s">
        <v>1195</v>
      </c>
      <c r="D277" s="1" t="s">
        <v>1196</v>
      </c>
      <c r="E277" s="1" t="s">
        <v>689</v>
      </c>
      <c r="F277" s="1" t="s">
        <v>1197</v>
      </c>
      <c r="G277" s="1" t="s">
        <v>19</v>
      </c>
      <c r="H277" s="1" t="s">
        <v>45</v>
      </c>
      <c r="I277" s="1" t="s">
        <v>21</v>
      </c>
      <c r="J277">
        <v>1</v>
      </c>
      <c r="K277">
        <v>74589</v>
      </c>
      <c r="L277">
        <v>74589</v>
      </c>
      <c r="M277" s="1" t="s">
        <v>38</v>
      </c>
      <c r="N277" s="1" t="s">
        <v>23</v>
      </c>
      <c r="O277" t="str">
        <f>TEXT(SalesDataset[[#This Row],[Order_Date]],"mmm")</f>
        <v>Mar</v>
      </c>
      <c r="P277" s="1" t="str">
        <f>TEXT(SalesDataset[[#This Row],[Order_Date]],"YYYY")</f>
        <v>2026</v>
      </c>
      <c r="Q277" s="1" t="str">
        <f>_xlfn.TEXTJOIN(" ",TRUE,SalesDataset[[#This Row],[First_Name]],SalesDataset[[#This Row],[Last_Name]])</f>
        <v>George Mosley</v>
      </c>
    </row>
    <row r="278" spans="1:17" x14ac:dyDescent="0.25">
      <c r="A278" s="1" t="s">
        <v>1198</v>
      </c>
      <c r="B278" s="2">
        <v>46086</v>
      </c>
      <c r="C278" s="1" t="s">
        <v>1199</v>
      </c>
      <c r="D278" s="1" t="s">
        <v>392</v>
      </c>
      <c r="E278" s="1" t="s">
        <v>1200</v>
      </c>
      <c r="F278" s="1" t="s">
        <v>1201</v>
      </c>
      <c r="G278" s="1" t="s">
        <v>19</v>
      </c>
      <c r="H278" s="1" t="s">
        <v>37</v>
      </c>
      <c r="I278" s="1" t="s">
        <v>21</v>
      </c>
      <c r="J278">
        <v>5</v>
      </c>
      <c r="K278">
        <v>42068</v>
      </c>
      <c r="L278">
        <v>210340</v>
      </c>
      <c r="M278" s="1" t="s">
        <v>86</v>
      </c>
      <c r="N278" s="1" t="s">
        <v>23</v>
      </c>
      <c r="O278" t="str">
        <f>TEXT(SalesDataset[[#This Row],[Order_Date]],"mmm")</f>
        <v>Mar</v>
      </c>
      <c r="P278" s="1" t="str">
        <f>TEXT(SalesDataset[[#This Row],[Order_Date]],"YYYY")</f>
        <v>2026</v>
      </c>
      <c r="Q278" s="1" t="str">
        <f>_xlfn.TEXTJOIN(" ",TRUE,SalesDataset[[#This Row],[First_Name]],SalesDataset[[#This Row],[Last_Name]])</f>
        <v>Keith Buck</v>
      </c>
    </row>
    <row r="279" spans="1:17" x14ac:dyDescent="0.25">
      <c r="A279" s="1" t="s">
        <v>1202</v>
      </c>
      <c r="B279" s="2">
        <v>46090</v>
      </c>
      <c r="C279" s="1" t="s">
        <v>1203</v>
      </c>
      <c r="D279" s="1" t="s">
        <v>1204</v>
      </c>
      <c r="E279" s="1" t="s">
        <v>842</v>
      </c>
      <c r="F279" s="1" t="s">
        <v>1205</v>
      </c>
      <c r="G279" s="1" t="s">
        <v>44</v>
      </c>
      <c r="H279" s="1" t="s">
        <v>62</v>
      </c>
      <c r="I279" s="1" t="s">
        <v>21</v>
      </c>
      <c r="J279">
        <v>4</v>
      </c>
      <c r="K279">
        <v>72672</v>
      </c>
      <c r="L279">
        <v>290688</v>
      </c>
      <c r="M279" s="1" t="s">
        <v>38</v>
      </c>
      <c r="N279" s="1" t="s">
        <v>31</v>
      </c>
      <c r="O279" t="str">
        <f>TEXT(SalesDataset[[#This Row],[Order_Date]],"mmm")</f>
        <v>Mar</v>
      </c>
      <c r="P279" s="1" t="str">
        <f>TEXT(SalesDataset[[#This Row],[Order_Date]],"YYYY")</f>
        <v>2026</v>
      </c>
      <c r="Q279" s="1" t="str">
        <f>_xlfn.TEXTJOIN(" ",TRUE,SalesDataset[[#This Row],[First_Name]],SalesDataset[[#This Row],[Last_Name]])</f>
        <v>Kristin Whitaker</v>
      </c>
    </row>
    <row r="280" spans="1:17" x14ac:dyDescent="0.25">
      <c r="A280" s="1" t="s">
        <v>1206</v>
      </c>
      <c r="B280" s="2">
        <v>46004</v>
      </c>
      <c r="C280" s="1" t="s">
        <v>477</v>
      </c>
      <c r="D280" s="1" t="s">
        <v>548</v>
      </c>
      <c r="E280" s="1" t="s">
        <v>1207</v>
      </c>
      <c r="F280" s="1" t="s">
        <v>1208</v>
      </c>
      <c r="G280" s="1" t="s">
        <v>19</v>
      </c>
      <c r="H280" s="1" t="s">
        <v>62</v>
      </c>
      <c r="I280" s="1" t="s">
        <v>21</v>
      </c>
      <c r="J280">
        <v>1</v>
      </c>
      <c r="K280">
        <v>76918</v>
      </c>
      <c r="L280">
        <v>76918</v>
      </c>
      <c r="M280" s="1" t="s">
        <v>86</v>
      </c>
      <c r="N280" s="1" t="s">
        <v>23</v>
      </c>
      <c r="O280" t="str">
        <f>TEXT(SalesDataset[[#This Row],[Order_Date]],"mmm")</f>
        <v>Dec</v>
      </c>
      <c r="P280" s="1" t="str">
        <f>TEXT(SalesDataset[[#This Row],[Order_Date]],"YYYY")</f>
        <v>2025</v>
      </c>
      <c r="Q280" s="1" t="str">
        <f>_xlfn.TEXTJOIN(" ",TRUE,SalesDataset[[#This Row],[First_Name]],SalesDataset[[#This Row],[Last_Name]])</f>
        <v>James Reyes</v>
      </c>
    </row>
    <row r="281" spans="1:17" x14ac:dyDescent="0.25">
      <c r="A281" s="1" t="s">
        <v>1209</v>
      </c>
      <c r="B281" s="2">
        <v>45847</v>
      </c>
      <c r="C281" s="1" t="s">
        <v>1210</v>
      </c>
      <c r="D281" s="1" t="s">
        <v>1211</v>
      </c>
      <c r="E281" s="1" t="s">
        <v>1212</v>
      </c>
      <c r="F281" s="1" t="s">
        <v>1213</v>
      </c>
      <c r="G281" s="1" t="s">
        <v>102</v>
      </c>
      <c r="H281" s="1" t="s">
        <v>37</v>
      </c>
      <c r="I281" s="1" t="s">
        <v>21</v>
      </c>
      <c r="J281">
        <v>2</v>
      </c>
      <c r="K281">
        <v>6790</v>
      </c>
      <c r="L281">
        <v>13580</v>
      </c>
      <c r="M281" s="1" t="s">
        <v>86</v>
      </c>
      <c r="N281" s="1" t="s">
        <v>46</v>
      </c>
      <c r="O281" t="str">
        <f>TEXT(SalesDataset[[#This Row],[Order_Date]],"mmm")</f>
        <v>Jul</v>
      </c>
      <c r="P281" s="1" t="str">
        <f>TEXT(SalesDataset[[#This Row],[Order_Date]],"YYYY")</f>
        <v>2025</v>
      </c>
      <c r="Q281" s="1" t="str">
        <f>_xlfn.TEXTJOIN(" ",TRUE,SalesDataset[[#This Row],[First_Name]],SalesDataset[[#This Row],[Last_Name]])</f>
        <v>Cody Reid</v>
      </c>
    </row>
    <row r="282" spans="1:17" x14ac:dyDescent="0.25">
      <c r="A282" s="1" t="s">
        <v>1214</v>
      </c>
      <c r="B282" s="2">
        <v>45836</v>
      </c>
      <c r="C282" s="1" t="s">
        <v>1215</v>
      </c>
      <c r="D282" s="1" t="s">
        <v>1216</v>
      </c>
      <c r="E282" s="1" t="s">
        <v>1160</v>
      </c>
      <c r="F282" s="1" t="s">
        <v>1217</v>
      </c>
      <c r="G282" s="1" t="s">
        <v>29</v>
      </c>
      <c r="H282" s="1" t="s">
        <v>20</v>
      </c>
      <c r="I282" s="1" t="s">
        <v>21</v>
      </c>
      <c r="J282">
        <v>1</v>
      </c>
      <c r="K282">
        <v>62080</v>
      </c>
      <c r="L282">
        <v>62080</v>
      </c>
      <c r="M282" s="1" t="s">
        <v>63</v>
      </c>
      <c r="N282" s="1" t="s">
        <v>23</v>
      </c>
      <c r="O282" t="str">
        <f>TEXT(SalesDataset[[#This Row],[Order_Date]],"mmm")</f>
        <v>Jun</v>
      </c>
      <c r="P282" s="1" t="str">
        <f>TEXT(SalesDataset[[#This Row],[Order_Date]],"YYYY")</f>
        <v>2025</v>
      </c>
      <c r="Q282" s="1" t="str">
        <f>_xlfn.TEXTJOIN(" ",TRUE,SalesDataset[[#This Row],[First_Name]],SalesDataset[[#This Row],[Last_Name]])</f>
        <v>Tammie Yu</v>
      </c>
    </row>
    <row r="283" spans="1:17" x14ac:dyDescent="0.25">
      <c r="A283" s="1" t="s">
        <v>1218</v>
      </c>
      <c r="B283" s="2">
        <v>46021</v>
      </c>
      <c r="C283" s="1" t="s">
        <v>1219</v>
      </c>
      <c r="D283" s="1" t="s">
        <v>1220</v>
      </c>
      <c r="E283" s="1" t="s">
        <v>503</v>
      </c>
      <c r="F283" s="1" t="s">
        <v>1221</v>
      </c>
      <c r="G283" s="1" t="s">
        <v>102</v>
      </c>
      <c r="H283" s="1" t="s">
        <v>20</v>
      </c>
      <c r="I283" s="1" t="s">
        <v>21</v>
      </c>
      <c r="J283">
        <v>4</v>
      </c>
      <c r="K283">
        <v>73565</v>
      </c>
      <c r="L283">
        <v>294260</v>
      </c>
      <c r="M283" s="1" t="s">
        <v>74</v>
      </c>
      <c r="N283" s="1" t="s">
        <v>46</v>
      </c>
      <c r="O283" t="str">
        <f>TEXT(SalesDataset[[#This Row],[Order_Date]],"mmm")</f>
        <v>Dec</v>
      </c>
      <c r="P283" s="1" t="str">
        <f>TEXT(SalesDataset[[#This Row],[Order_Date]],"YYYY")</f>
        <v>2025</v>
      </c>
      <c r="Q283" s="1" t="str">
        <f>_xlfn.TEXTJOIN(" ",TRUE,SalesDataset[[#This Row],[First_Name]],SalesDataset[[#This Row],[Last_Name]])</f>
        <v>Ryan Payne</v>
      </c>
    </row>
    <row r="284" spans="1:17" x14ac:dyDescent="0.25">
      <c r="A284" s="1" t="s">
        <v>1222</v>
      </c>
      <c r="B284" s="2">
        <v>46141</v>
      </c>
      <c r="C284" s="1" t="s">
        <v>1223</v>
      </c>
      <c r="D284" s="1" t="s">
        <v>606</v>
      </c>
      <c r="E284" s="1" t="s">
        <v>466</v>
      </c>
      <c r="F284" s="1" t="s">
        <v>1224</v>
      </c>
      <c r="G284" s="1" t="s">
        <v>29</v>
      </c>
      <c r="H284" s="1" t="s">
        <v>37</v>
      </c>
      <c r="I284" s="1" t="s">
        <v>21</v>
      </c>
      <c r="J284">
        <v>2</v>
      </c>
      <c r="K284">
        <v>77196</v>
      </c>
      <c r="L284">
        <v>154392</v>
      </c>
      <c r="M284" s="1" t="s">
        <v>74</v>
      </c>
      <c r="N284" s="1" t="s">
        <v>23</v>
      </c>
      <c r="O284" t="str">
        <f>TEXT(SalesDataset[[#This Row],[Order_Date]],"mmm")</f>
        <v>Apr</v>
      </c>
      <c r="P284" s="1" t="str">
        <f>TEXT(SalesDataset[[#This Row],[Order_Date]],"YYYY")</f>
        <v>2026</v>
      </c>
      <c r="Q284" s="1" t="str">
        <f>_xlfn.TEXTJOIN(" ",TRUE,SalesDataset[[#This Row],[First_Name]],SalesDataset[[#This Row],[Last_Name]])</f>
        <v>Joshua Cook</v>
      </c>
    </row>
    <row r="285" spans="1:17" x14ac:dyDescent="0.25">
      <c r="A285" s="1" t="s">
        <v>1225</v>
      </c>
      <c r="B285" s="2">
        <v>45910</v>
      </c>
      <c r="C285" s="1" t="s">
        <v>1226</v>
      </c>
      <c r="D285" s="1" t="s">
        <v>1227</v>
      </c>
      <c r="E285" s="1" t="s">
        <v>1228</v>
      </c>
      <c r="F285" s="1" t="s">
        <v>1229</v>
      </c>
      <c r="G285" s="1" t="s">
        <v>29</v>
      </c>
      <c r="H285" s="1" t="s">
        <v>37</v>
      </c>
      <c r="I285" s="1" t="s">
        <v>21</v>
      </c>
      <c r="J285">
        <v>4</v>
      </c>
      <c r="K285">
        <v>68381</v>
      </c>
      <c r="L285">
        <v>273524</v>
      </c>
      <c r="M285" s="1" t="s">
        <v>38</v>
      </c>
      <c r="N285" s="1" t="s">
        <v>31</v>
      </c>
      <c r="O285" t="str">
        <f>TEXT(SalesDataset[[#This Row],[Order_Date]],"mmm")</f>
        <v>Sep</v>
      </c>
      <c r="P285" s="1" t="str">
        <f>TEXT(SalesDataset[[#This Row],[Order_Date]],"YYYY")</f>
        <v>2025</v>
      </c>
      <c r="Q285" s="1" t="str">
        <f>_xlfn.TEXTJOIN(" ",TRUE,SalesDataset[[#This Row],[First_Name]],SalesDataset[[#This Row],[Last_Name]])</f>
        <v>Lorraine Small</v>
      </c>
    </row>
    <row r="286" spans="1:17" x14ac:dyDescent="0.25">
      <c r="A286" s="1" t="s">
        <v>1230</v>
      </c>
      <c r="B286" s="2">
        <v>45979</v>
      </c>
      <c r="C286" s="1" t="s">
        <v>1231</v>
      </c>
      <c r="D286" s="1" t="s">
        <v>1232</v>
      </c>
      <c r="E286" s="1" t="s">
        <v>1233</v>
      </c>
      <c r="F286" s="1" t="s">
        <v>1234</v>
      </c>
      <c r="G286" s="1" t="s">
        <v>44</v>
      </c>
      <c r="H286" s="1" t="s">
        <v>20</v>
      </c>
      <c r="I286" s="1" t="s">
        <v>21</v>
      </c>
      <c r="J286">
        <v>2</v>
      </c>
      <c r="K286">
        <v>6329</v>
      </c>
      <c r="L286">
        <v>12658</v>
      </c>
      <c r="M286" s="1" t="s">
        <v>63</v>
      </c>
      <c r="N286" s="1" t="s">
        <v>31</v>
      </c>
      <c r="O286" t="str">
        <f>TEXT(SalesDataset[[#This Row],[Order_Date]],"mmm")</f>
        <v>Nov</v>
      </c>
      <c r="P286" s="1" t="str">
        <f>TEXT(SalesDataset[[#This Row],[Order_Date]],"YYYY")</f>
        <v>2025</v>
      </c>
      <c r="Q286" s="1" t="str">
        <f>_xlfn.TEXTJOIN(" ",TRUE,SalesDataset[[#This Row],[First_Name]],SalesDataset[[#This Row],[Last_Name]])</f>
        <v>Alyssa Wiggins</v>
      </c>
    </row>
    <row r="287" spans="1:17" x14ac:dyDescent="0.25">
      <c r="A287" s="1" t="s">
        <v>1235</v>
      </c>
      <c r="B287" s="2">
        <v>45995</v>
      </c>
      <c r="C287" s="1" t="s">
        <v>1236</v>
      </c>
      <c r="D287" s="1" t="s">
        <v>1237</v>
      </c>
      <c r="E287" s="1" t="s">
        <v>1238</v>
      </c>
      <c r="F287" s="1" t="s">
        <v>1239</v>
      </c>
      <c r="G287" s="1" t="s">
        <v>19</v>
      </c>
      <c r="H287" s="1" t="s">
        <v>92</v>
      </c>
      <c r="I287" s="1" t="s">
        <v>21</v>
      </c>
      <c r="J287">
        <v>5</v>
      </c>
      <c r="K287">
        <v>42375</v>
      </c>
      <c r="L287">
        <v>211875</v>
      </c>
      <c r="M287" s="1" t="s">
        <v>63</v>
      </c>
      <c r="N287" s="1" t="s">
        <v>23</v>
      </c>
      <c r="O287" t="str">
        <f>TEXT(SalesDataset[[#This Row],[Order_Date]],"mmm")</f>
        <v>Dec</v>
      </c>
      <c r="P287" s="1" t="str">
        <f>TEXT(SalesDataset[[#This Row],[Order_Date]],"YYYY")</f>
        <v>2025</v>
      </c>
      <c r="Q287" s="1" t="str">
        <f>_xlfn.TEXTJOIN(" ",TRUE,SalesDataset[[#This Row],[First_Name]],SalesDataset[[#This Row],[Last_Name]])</f>
        <v>Michele Wood</v>
      </c>
    </row>
    <row r="288" spans="1:17" x14ac:dyDescent="0.25">
      <c r="A288" s="1" t="s">
        <v>1240</v>
      </c>
      <c r="B288" s="2">
        <v>45814</v>
      </c>
      <c r="C288" s="1" t="s">
        <v>849</v>
      </c>
      <c r="D288" s="1" t="s">
        <v>1241</v>
      </c>
      <c r="E288" s="1" t="s">
        <v>1242</v>
      </c>
      <c r="F288" s="1" t="s">
        <v>1243</v>
      </c>
      <c r="G288" s="1" t="s">
        <v>19</v>
      </c>
      <c r="H288" s="1" t="s">
        <v>30</v>
      </c>
      <c r="I288" s="1" t="s">
        <v>21</v>
      </c>
      <c r="J288">
        <v>3</v>
      </c>
      <c r="K288">
        <v>9957</v>
      </c>
      <c r="L288">
        <v>29871</v>
      </c>
      <c r="M288" s="1" t="s">
        <v>63</v>
      </c>
      <c r="N288" s="1" t="s">
        <v>23</v>
      </c>
      <c r="O288" t="str">
        <f>TEXT(SalesDataset[[#This Row],[Order_Date]],"mmm")</f>
        <v>Jun</v>
      </c>
      <c r="P288" s="1" t="str">
        <f>TEXT(SalesDataset[[#This Row],[Order_Date]],"YYYY")</f>
        <v>2025</v>
      </c>
      <c r="Q288" s="1" t="str">
        <f>_xlfn.TEXTJOIN(" ",TRUE,SalesDataset[[#This Row],[First_Name]],SalesDataset[[#This Row],[Last_Name]])</f>
        <v>Shawn Vazquez</v>
      </c>
    </row>
    <row r="289" spans="1:17" x14ac:dyDescent="0.25">
      <c r="A289" s="1" t="s">
        <v>1244</v>
      </c>
      <c r="B289" s="2">
        <v>45991</v>
      </c>
      <c r="C289" s="1" t="s">
        <v>149</v>
      </c>
      <c r="D289" s="1" t="s">
        <v>437</v>
      </c>
      <c r="E289" s="1" t="s">
        <v>1238</v>
      </c>
      <c r="F289" s="1" t="s">
        <v>1245</v>
      </c>
      <c r="G289" s="1" t="s">
        <v>29</v>
      </c>
      <c r="H289" s="1" t="s">
        <v>20</v>
      </c>
      <c r="I289" s="1" t="s">
        <v>21</v>
      </c>
      <c r="J289">
        <v>2</v>
      </c>
      <c r="K289">
        <v>28793</v>
      </c>
      <c r="L289">
        <v>57586</v>
      </c>
      <c r="M289" s="1" t="s">
        <v>22</v>
      </c>
      <c r="N289" s="1" t="s">
        <v>46</v>
      </c>
      <c r="O289" t="str">
        <f>TEXT(SalesDataset[[#This Row],[Order_Date]],"mmm")</f>
        <v>Nov</v>
      </c>
      <c r="P289" s="1" t="str">
        <f>TEXT(SalesDataset[[#This Row],[Order_Date]],"YYYY")</f>
        <v>2025</v>
      </c>
      <c r="Q289" s="1" t="str">
        <f>_xlfn.TEXTJOIN(" ",TRUE,SalesDataset[[#This Row],[First_Name]],SalesDataset[[#This Row],[Last_Name]])</f>
        <v>Brandon Wood</v>
      </c>
    </row>
    <row r="290" spans="1:17" x14ac:dyDescent="0.25">
      <c r="A290" s="1" t="s">
        <v>1246</v>
      </c>
      <c r="B290" s="2">
        <v>46001</v>
      </c>
      <c r="C290" s="1" t="s">
        <v>1247</v>
      </c>
      <c r="D290" s="1" t="s">
        <v>179</v>
      </c>
      <c r="E290" s="1" t="s">
        <v>1248</v>
      </c>
      <c r="F290" s="1" t="s">
        <v>1249</v>
      </c>
      <c r="G290" s="1" t="s">
        <v>19</v>
      </c>
      <c r="H290" s="1" t="s">
        <v>80</v>
      </c>
      <c r="I290" s="1" t="s">
        <v>21</v>
      </c>
      <c r="J290">
        <v>3</v>
      </c>
      <c r="K290">
        <v>61700</v>
      </c>
      <c r="L290">
        <v>185100</v>
      </c>
      <c r="M290" s="1" t="s">
        <v>38</v>
      </c>
      <c r="N290" s="1" t="s">
        <v>46</v>
      </c>
      <c r="O290" t="str">
        <f>TEXT(SalesDataset[[#This Row],[Order_Date]],"mmm")</f>
        <v>Dec</v>
      </c>
      <c r="P290" s="1" t="str">
        <f>TEXT(SalesDataset[[#This Row],[Order_Date]],"YYYY")</f>
        <v>2025</v>
      </c>
      <c r="Q290" s="1" t="str">
        <f>_xlfn.TEXTJOIN(" ",TRUE,SalesDataset[[#This Row],[First_Name]],SalesDataset[[#This Row],[Last_Name]])</f>
        <v>Gabriel Pierce</v>
      </c>
    </row>
    <row r="291" spans="1:17" x14ac:dyDescent="0.25">
      <c r="A291" s="1" t="s">
        <v>1250</v>
      </c>
      <c r="B291" s="2">
        <v>46034</v>
      </c>
      <c r="C291" s="1" t="s">
        <v>263</v>
      </c>
      <c r="D291" s="1" t="s">
        <v>281</v>
      </c>
      <c r="E291" s="1" t="s">
        <v>1251</v>
      </c>
      <c r="F291" s="1" t="s">
        <v>1252</v>
      </c>
      <c r="G291" s="1" t="s">
        <v>44</v>
      </c>
      <c r="H291" s="1" t="s">
        <v>62</v>
      </c>
      <c r="I291" s="1" t="s">
        <v>21</v>
      </c>
      <c r="J291">
        <v>5</v>
      </c>
      <c r="K291">
        <v>8460</v>
      </c>
      <c r="L291">
        <v>42300</v>
      </c>
      <c r="M291" s="1" t="s">
        <v>63</v>
      </c>
      <c r="N291" s="1" t="s">
        <v>46</v>
      </c>
      <c r="O291" t="str">
        <f>TEXT(SalesDataset[[#This Row],[Order_Date]],"mmm")</f>
        <v>Jan</v>
      </c>
      <c r="P291" s="1" t="str">
        <f>TEXT(SalesDataset[[#This Row],[Order_Date]],"YYYY")</f>
        <v>2026</v>
      </c>
      <c r="Q291" s="1" t="str">
        <f>_xlfn.TEXTJOIN(" ",TRUE,SalesDataset[[#This Row],[First_Name]],SalesDataset[[#This Row],[Last_Name]])</f>
        <v>Thomas Mendez</v>
      </c>
    </row>
    <row r="292" spans="1:17" x14ac:dyDescent="0.25">
      <c r="A292" s="1" t="s">
        <v>1253</v>
      </c>
      <c r="B292" s="2">
        <v>45828</v>
      </c>
      <c r="C292" s="1" t="s">
        <v>1254</v>
      </c>
      <c r="D292" s="1" t="s">
        <v>1159</v>
      </c>
      <c r="E292" s="1" t="s">
        <v>540</v>
      </c>
      <c r="F292" s="1" t="s">
        <v>1255</v>
      </c>
      <c r="G292" s="1" t="s">
        <v>44</v>
      </c>
      <c r="H292" s="1" t="s">
        <v>37</v>
      </c>
      <c r="I292" s="1" t="s">
        <v>21</v>
      </c>
      <c r="J292">
        <v>5</v>
      </c>
      <c r="K292">
        <v>33773</v>
      </c>
      <c r="L292">
        <v>168865</v>
      </c>
      <c r="M292" s="1" t="s">
        <v>86</v>
      </c>
      <c r="N292" s="1" t="s">
        <v>46</v>
      </c>
      <c r="O292" t="str">
        <f>TEXT(SalesDataset[[#This Row],[Order_Date]],"mmm")</f>
        <v>Jun</v>
      </c>
      <c r="P292" s="1" t="str">
        <f>TEXT(SalesDataset[[#This Row],[Order_Date]],"YYYY")</f>
        <v>2025</v>
      </c>
      <c r="Q292" s="1" t="str">
        <f>_xlfn.TEXTJOIN(" ",TRUE,SalesDataset[[#This Row],[First_Name]],SalesDataset[[#This Row],[Last_Name]])</f>
        <v>Leroy Williams</v>
      </c>
    </row>
    <row r="293" spans="1:17" x14ac:dyDescent="0.25">
      <c r="A293" s="1" t="s">
        <v>1256</v>
      </c>
      <c r="B293" s="2">
        <v>45877</v>
      </c>
      <c r="C293" s="1" t="s">
        <v>1257</v>
      </c>
      <c r="D293" s="1" t="s">
        <v>1258</v>
      </c>
      <c r="E293" s="1" t="s">
        <v>445</v>
      </c>
      <c r="F293" s="1" t="s">
        <v>1259</v>
      </c>
      <c r="G293" s="1" t="s">
        <v>102</v>
      </c>
      <c r="H293" s="1" t="s">
        <v>30</v>
      </c>
      <c r="I293" s="1" t="s">
        <v>21</v>
      </c>
      <c r="J293">
        <v>1</v>
      </c>
      <c r="K293">
        <v>17244</v>
      </c>
      <c r="L293">
        <v>17244</v>
      </c>
      <c r="M293" s="1" t="s">
        <v>86</v>
      </c>
      <c r="N293" s="1" t="s">
        <v>31</v>
      </c>
      <c r="O293" t="str">
        <f>TEXT(SalesDataset[[#This Row],[Order_Date]],"mmm")</f>
        <v>Aug</v>
      </c>
      <c r="P293" s="1" t="str">
        <f>TEXT(SalesDataset[[#This Row],[Order_Date]],"YYYY")</f>
        <v>2025</v>
      </c>
      <c r="Q293" s="1" t="str">
        <f>_xlfn.TEXTJOIN(" ",TRUE,SalesDataset[[#This Row],[First_Name]],SalesDataset[[#This Row],[Last_Name]])</f>
        <v>Charles Leonard</v>
      </c>
    </row>
    <row r="294" spans="1:17" x14ac:dyDescent="0.25">
      <c r="A294" s="1" t="s">
        <v>1260</v>
      </c>
      <c r="B294" s="2">
        <v>45930</v>
      </c>
      <c r="C294" s="1" t="s">
        <v>1261</v>
      </c>
      <c r="D294" s="1" t="s">
        <v>59</v>
      </c>
      <c r="E294" s="1" t="s">
        <v>1262</v>
      </c>
      <c r="F294" s="1" t="s">
        <v>1263</v>
      </c>
      <c r="G294" s="1" t="s">
        <v>19</v>
      </c>
      <c r="H294" s="1" t="s">
        <v>92</v>
      </c>
      <c r="I294" s="1" t="s">
        <v>21</v>
      </c>
      <c r="J294">
        <v>2</v>
      </c>
      <c r="K294">
        <v>71537</v>
      </c>
      <c r="L294">
        <v>143074</v>
      </c>
      <c r="M294" s="1" t="s">
        <v>22</v>
      </c>
      <c r="N294" s="1" t="s">
        <v>46</v>
      </c>
      <c r="O294" t="str">
        <f>TEXT(SalesDataset[[#This Row],[Order_Date]],"mmm")</f>
        <v>Sep</v>
      </c>
      <c r="P294" s="1" t="str">
        <f>TEXT(SalesDataset[[#This Row],[Order_Date]],"YYYY")</f>
        <v>2025</v>
      </c>
      <c r="Q294" s="1" t="str">
        <f>_xlfn.TEXTJOIN(" ",TRUE,SalesDataset[[#This Row],[First_Name]],SalesDataset[[#This Row],[Last_Name]])</f>
        <v>Jason Woods</v>
      </c>
    </row>
    <row r="295" spans="1:17" x14ac:dyDescent="0.25">
      <c r="A295" s="1" t="s">
        <v>1264</v>
      </c>
      <c r="B295" s="2">
        <v>45898</v>
      </c>
      <c r="C295" s="1" t="s">
        <v>1265</v>
      </c>
      <c r="D295" s="1" t="s">
        <v>273</v>
      </c>
      <c r="E295" s="1" t="s">
        <v>281</v>
      </c>
      <c r="F295" s="1" t="s">
        <v>1266</v>
      </c>
      <c r="G295" s="1" t="s">
        <v>29</v>
      </c>
      <c r="H295" s="1" t="s">
        <v>37</v>
      </c>
      <c r="I295" s="1" t="s">
        <v>21</v>
      </c>
      <c r="J295">
        <v>2</v>
      </c>
      <c r="K295">
        <v>12969</v>
      </c>
      <c r="L295">
        <v>25938</v>
      </c>
      <c r="M295" s="1" t="s">
        <v>38</v>
      </c>
      <c r="N295" s="1" t="s">
        <v>46</v>
      </c>
      <c r="O295" t="str">
        <f>TEXT(SalesDataset[[#This Row],[Order_Date]],"mmm")</f>
        <v>Aug</v>
      </c>
      <c r="P295" s="1" t="str">
        <f>TEXT(SalesDataset[[#This Row],[Order_Date]],"YYYY")</f>
        <v>2025</v>
      </c>
      <c r="Q295" s="1" t="str">
        <f>_xlfn.TEXTJOIN(" ",TRUE,SalesDataset[[#This Row],[First_Name]],SalesDataset[[#This Row],[Last_Name]])</f>
        <v>Robert Thomas</v>
      </c>
    </row>
    <row r="296" spans="1:17" x14ac:dyDescent="0.25">
      <c r="A296" s="1" t="s">
        <v>1267</v>
      </c>
      <c r="B296" s="2">
        <v>45835</v>
      </c>
      <c r="C296" s="1" t="s">
        <v>1268</v>
      </c>
      <c r="D296" s="1" t="s">
        <v>150</v>
      </c>
      <c r="E296" s="1" t="s">
        <v>1269</v>
      </c>
      <c r="F296" s="1" t="s">
        <v>1270</v>
      </c>
      <c r="G296" s="1" t="s">
        <v>19</v>
      </c>
      <c r="H296" s="1" t="s">
        <v>30</v>
      </c>
      <c r="I296" s="1" t="s">
        <v>21</v>
      </c>
      <c r="J296">
        <v>5</v>
      </c>
      <c r="K296">
        <v>48524</v>
      </c>
      <c r="L296">
        <v>242620</v>
      </c>
      <c r="M296" s="1" t="s">
        <v>86</v>
      </c>
      <c r="N296" s="1" t="s">
        <v>23</v>
      </c>
      <c r="O296" t="str">
        <f>TEXT(SalesDataset[[#This Row],[Order_Date]],"mmm")</f>
        <v>Jun</v>
      </c>
      <c r="P296" s="1" t="str">
        <f>TEXT(SalesDataset[[#This Row],[Order_Date]],"YYYY")</f>
        <v>2025</v>
      </c>
      <c r="Q296" s="1" t="str">
        <f>_xlfn.TEXTJOIN(" ",TRUE,SalesDataset[[#This Row],[First_Name]],SalesDataset[[#This Row],[Last_Name]])</f>
        <v>Michael Baker</v>
      </c>
    </row>
    <row r="297" spans="1:17" x14ac:dyDescent="0.25">
      <c r="A297" s="1" t="s">
        <v>1271</v>
      </c>
      <c r="B297" s="2">
        <v>45931</v>
      </c>
      <c r="C297" s="1" t="s">
        <v>692</v>
      </c>
      <c r="D297" s="1" t="s">
        <v>895</v>
      </c>
      <c r="E297" s="1" t="s">
        <v>241</v>
      </c>
      <c r="F297" s="1" t="s">
        <v>1272</v>
      </c>
      <c r="G297" s="1" t="s">
        <v>19</v>
      </c>
      <c r="H297" s="1" t="s">
        <v>92</v>
      </c>
      <c r="I297" s="1" t="s">
        <v>21</v>
      </c>
      <c r="J297">
        <v>1</v>
      </c>
      <c r="K297">
        <v>51476</v>
      </c>
      <c r="L297">
        <v>51476</v>
      </c>
      <c r="M297" s="1" t="s">
        <v>63</v>
      </c>
      <c r="N297" s="1" t="s">
        <v>46</v>
      </c>
      <c r="O297" t="str">
        <f>TEXT(SalesDataset[[#This Row],[Order_Date]],"mmm")</f>
        <v>Oct</v>
      </c>
      <c r="P297" s="1" t="str">
        <f>TEXT(SalesDataset[[#This Row],[Order_Date]],"YYYY")</f>
        <v>2025</v>
      </c>
      <c r="Q297" s="1" t="str">
        <f>_xlfn.TEXTJOIN(" ",TRUE,SalesDataset[[#This Row],[First_Name]],SalesDataset[[#This Row],[Last_Name]])</f>
        <v>Cole Walker</v>
      </c>
    </row>
    <row r="298" spans="1:17" x14ac:dyDescent="0.25">
      <c r="A298" s="1" t="s">
        <v>1273</v>
      </c>
      <c r="B298" s="2">
        <v>46081</v>
      </c>
      <c r="C298" s="1" t="s">
        <v>1274</v>
      </c>
      <c r="D298" s="1" t="s">
        <v>1275</v>
      </c>
      <c r="E298" s="1" t="s">
        <v>218</v>
      </c>
      <c r="F298" s="1" t="s">
        <v>1276</v>
      </c>
      <c r="G298" s="1" t="s">
        <v>19</v>
      </c>
      <c r="H298" s="1" t="s">
        <v>62</v>
      </c>
      <c r="I298" s="1" t="s">
        <v>21</v>
      </c>
      <c r="J298">
        <v>2</v>
      </c>
      <c r="K298">
        <v>45220</v>
      </c>
      <c r="L298">
        <v>90440</v>
      </c>
      <c r="M298" s="1" t="s">
        <v>22</v>
      </c>
      <c r="N298" s="1" t="s">
        <v>31</v>
      </c>
      <c r="O298" t="str">
        <f>TEXT(SalesDataset[[#This Row],[Order_Date]],"mmm")</f>
        <v>Feb</v>
      </c>
      <c r="P298" s="1" t="str">
        <f>TEXT(SalesDataset[[#This Row],[Order_Date]],"YYYY")</f>
        <v>2026</v>
      </c>
      <c r="Q298" s="1" t="str">
        <f>_xlfn.TEXTJOIN(" ",TRUE,SalesDataset[[#This Row],[First_Name]],SalesDataset[[#This Row],[Last_Name]])</f>
        <v>Dr. Carl Davis MD</v>
      </c>
    </row>
    <row r="299" spans="1:17" x14ac:dyDescent="0.25">
      <c r="A299" s="1" t="s">
        <v>1277</v>
      </c>
      <c r="B299" s="2">
        <v>45860</v>
      </c>
      <c r="C299" s="1" t="s">
        <v>1278</v>
      </c>
      <c r="D299" s="1" t="s">
        <v>1279</v>
      </c>
      <c r="E299" s="1" t="s">
        <v>715</v>
      </c>
      <c r="F299" s="1" t="s">
        <v>1280</v>
      </c>
      <c r="G299" s="1" t="s">
        <v>19</v>
      </c>
      <c r="H299" s="1" t="s">
        <v>62</v>
      </c>
      <c r="I299" s="1" t="s">
        <v>21</v>
      </c>
      <c r="J299">
        <v>5</v>
      </c>
      <c r="K299">
        <v>78701</v>
      </c>
      <c r="L299">
        <v>393505</v>
      </c>
      <c r="M299" s="1" t="s">
        <v>38</v>
      </c>
      <c r="N299" s="1" t="s">
        <v>46</v>
      </c>
      <c r="O299" t="str">
        <f>TEXT(SalesDataset[[#This Row],[Order_Date]],"mmm")</f>
        <v>Jul</v>
      </c>
      <c r="P299" s="1" t="str">
        <f>TEXT(SalesDataset[[#This Row],[Order_Date]],"YYYY")</f>
        <v>2025</v>
      </c>
      <c r="Q299" s="1" t="str">
        <f>_xlfn.TEXTJOIN(" ",TRUE,SalesDataset[[#This Row],[First_Name]],SalesDataset[[#This Row],[Last_Name]])</f>
        <v>Alan Underwood</v>
      </c>
    </row>
    <row r="300" spans="1:17" x14ac:dyDescent="0.25">
      <c r="A300" s="1" t="s">
        <v>1281</v>
      </c>
      <c r="B300" s="2">
        <v>45876</v>
      </c>
      <c r="C300" s="1" t="s">
        <v>1282</v>
      </c>
      <c r="D300" s="1" t="s">
        <v>582</v>
      </c>
      <c r="E300" s="1" t="s">
        <v>246</v>
      </c>
      <c r="F300" s="1" t="s">
        <v>1283</v>
      </c>
      <c r="G300" s="1" t="s">
        <v>102</v>
      </c>
      <c r="H300" s="1" t="s">
        <v>30</v>
      </c>
      <c r="I300" s="1" t="s">
        <v>21</v>
      </c>
      <c r="J300">
        <v>4</v>
      </c>
      <c r="K300">
        <v>16204</v>
      </c>
      <c r="L300">
        <v>64816</v>
      </c>
      <c r="M300" s="1" t="s">
        <v>74</v>
      </c>
      <c r="N300" s="1" t="s">
        <v>46</v>
      </c>
      <c r="O300" t="str">
        <f>TEXT(SalesDataset[[#This Row],[Order_Date]],"mmm")</f>
        <v>Aug</v>
      </c>
      <c r="P300" s="1" t="str">
        <f>TEXT(SalesDataset[[#This Row],[Order_Date]],"YYYY")</f>
        <v>2025</v>
      </c>
      <c r="Q300" s="1" t="str">
        <f>_xlfn.TEXTJOIN(" ",TRUE,SalesDataset[[#This Row],[First_Name]],SalesDataset[[#This Row],[Last_Name]])</f>
        <v>Sarah Simpson</v>
      </c>
    </row>
    <row r="301" spans="1:17" x14ac:dyDescent="0.25">
      <c r="A301" s="1" t="s">
        <v>1284</v>
      </c>
      <c r="B301" s="2">
        <v>46004</v>
      </c>
      <c r="C301" s="1" t="s">
        <v>1285</v>
      </c>
      <c r="D301" s="1" t="s">
        <v>378</v>
      </c>
      <c r="E301" s="1" t="s">
        <v>488</v>
      </c>
      <c r="F301" s="1" t="s">
        <v>420</v>
      </c>
      <c r="G301" s="1" t="s">
        <v>102</v>
      </c>
      <c r="H301" s="1" t="s">
        <v>80</v>
      </c>
      <c r="I301" s="1" t="s">
        <v>21</v>
      </c>
      <c r="J301">
        <v>1</v>
      </c>
      <c r="K301">
        <v>10910</v>
      </c>
      <c r="L301">
        <v>10910</v>
      </c>
      <c r="M301" s="1" t="s">
        <v>86</v>
      </c>
      <c r="N301" s="1" t="s">
        <v>46</v>
      </c>
      <c r="O301" t="str">
        <f>TEXT(SalesDataset[[#This Row],[Order_Date]],"mmm")</f>
        <v>Dec</v>
      </c>
      <c r="P301" s="1" t="str">
        <f>TEXT(SalesDataset[[#This Row],[Order_Date]],"YYYY")</f>
        <v>2025</v>
      </c>
      <c r="Q301" s="1" t="str">
        <f>_xlfn.TEXTJOIN(" ",TRUE,SalesDataset[[#This Row],[First_Name]],SalesDataset[[#This Row],[Last_Name]])</f>
        <v>Brian Johnson</v>
      </c>
    </row>
    <row r="302" spans="1:17" x14ac:dyDescent="0.25">
      <c r="A302" s="1" t="s">
        <v>1286</v>
      </c>
      <c r="B302" s="2">
        <v>46117</v>
      </c>
      <c r="C302" s="1" t="s">
        <v>1287</v>
      </c>
      <c r="D302" s="1" t="s">
        <v>227</v>
      </c>
      <c r="E302" s="1" t="s">
        <v>1288</v>
      </c>
      <c r="F302" s="1" t="s">
        <v>1289</v>
      </c>
      <c r="G302" s="1" t="s">
        <v>19</v>
      </c>
      <c r="H302" s="1" t="s">
        <v>45</v>
      </c>
      <c r="I302" s="1" t="s">
        <v>21</v>
      </c>
      <c r="J302">
        <v>4</v>
      </c>
      <c r="K302">
        <v>47608</v>
      </c>
      <c r="L302">
        <v>190432</v>
      </c>
      <c r="M302" s="1" t="s">
        <v>74</v>
      </c>
      <c r="N302" s="1" t="s">
        <v>23</v>
      </c>
      <c r="O302" t="str">
        <f>TEXT(SalesDataset[[#This Row],[Order_Date]],"mmm")</f>
        <v>Apr</v>
      </c>
      <c r="P302" s="1" t="str">
        <f>TEXT(SalesDataset[[#This Row],[Order_Date]],"YYYY")</f>
        <v>2026</v>
      </c>
      <c r="Q302" s="1" t="str">
        <f>_xlfn.TEXTJOIN(" ",TRUE,SalesDataset[[#This Row],[First_Name]],SalesDataset[[#This Row],[Last_Name]])</f>
        <v>Julie Lane</v>
      </c>
    </row>
    <row r="303" spans="1:17" x14ac:dyDescent="0.25">
      <c r="A303" s="1" t="s">
        <v>1290</v>
      </c>
      <c r="B303" s="2">
        <v>46068</v>
      </c>
      <c r="C303" s="1" t="s">
        <v>1291</v>
      </c>
      <c r="D303" s="1" t="s">
        <v>1292</v>
      </c>
      <c r="E303" s="1" t="s">
        <v>416</v>
      </c>
      <c r="F303" s="1" t="s">
        <v>1293</v>
      </c>
      <c r="G303" s="1" t="s">
        <v>29</v>
      </c>
      <c r="H303" s="1" t="s">
        <v>92</v>
      </c>
      <c r="I303" s="1" t="s">
        <v>21</v>
      </c>
      <c r="J303">
        <v>4</v>
      </c>
      <c r="K303">
        <v>73436</v>
      </c>
      <c r="L303">
        <v>293744</v>
      </c>
      <c r="M303" s="1" t="s">
        <v>22</v>
      </c>
      <c r="N303" s="1" t="s">
        <v>31</v>
      </c>
      <c r="O303" t="str">
        <f>TEXT(SalesDataset[[#This Row],[Order_Date]],"mmm")</f>
        <v>Feb</v>
      </c>
      <c r="P303" s="1" t="str">
        <f>TEXT(SalesDataset[[#This Row],[Order_Date]],"YYYY")</f>
        <v>2026</v>
      </c>
      <c r="Q303" s="1" t="str">
        <f>_xlfn.TEXTJOIN(" ",TRUE,SalesDataset[[#This Row],[First_Name]],SalesDataset[[#This Row],[Last_Name]])</f>
        <v>Jamie Garcia</v>
      </c>
    </row>
    <row r="304" spans="1:17" x14ac:dyDescent="0.25">
      <c r="A304" s="1" t="s">
        <v>1294</v>
      </c>
      <c r="B304" s="2">
        <v>46123</v>
      </c>
      <c r="C304" s="1" t="s">
        <v>1295</v>
      </c>
      <c r="D304" s="1" t="s">
        <v>1296</v>
      </c>
      <c r="E304" s="1" t="s">
        <v>592</v>
      </c>
      <c r="F304" s="1" t="s">
        <v>1297</v>
      </c>
      <c r="G304" s="1" t="s">
        <v>44</v>
      </c>
      <c r="H304" s="1" t="s">
        <v>62</v>
      </c>
      <c r="I304" s="1" t="s">
        <v>21</v>
      </c>
      <c r="J304">
        <v>2</v>
      </c>
      <c r="K304">
        <v>33589</v>
      </c>
      <c r="L304">
        <v>67178</v>
      </c>
      <c r="M304" s="1" t="s">
        <v>86</v>
      </c>
      <c r="N304" s="1" t="s">
        <v>46</v>
      </c>
      <c r="O304" t="str">
        <f>TEXT(SalesDataset[[#This Row],[Order_Date]],"mmm")</f>
        <v>Apr</v>
      </c>
      <c r="P304" s="1" t="str">
        <f>TEXT(SalesDataset[[#This Row],[Order_Date]],"YYYY")</f>
        <v>2026</v>
      </c>
      <c r="Q304" s="1" t="str">
        <f>_xlfn.TEXTJOIN(" ",TRUE,SalesDataset[[#This Row],[First_Name]],SalesDataset[[#This Row],[Last_Name]])</f>
        <v>Stephen Torres</v>
      </c>
    </row>
    <row r="305" spans="1:17" x14ac:dyDescent="0.25">
      <c r="A305" s="1" t="s">
        <v>1298</v>
      </c>
      <c r="B305" s="2">
        <v>45961</v>
      </c>
      <c r="C305" s="1" t="s">
        <v>1299</v>
      </c>
      <c r="D305" s="1" t="s">
        <v>1176</v>
      </c>
      <c r="E305" s="1" t="s">
        <v>549</v>
      </c>
      <c r="F305" s="1" t="s">
        <v>1300</v>
      </c>
      <c r="G305" s="1" t="s">
        <v>29</v>
      </c>
      <c r="H305" s="1" t="s">
        <v>30</v>
      </c>
      <c r="I305" s="1" t="s">
        <v>21</v>
      </c>
      <c r="J305">
        <v>5</v>
      </c>
      <c r="K305">
        <v>72633</v>
      </c>
      <c r="L305">
        <v>363165</v>
      </c>
      <c r="M305" s="1" t="s">
        <v>63</v>
      </c>
      <c r="N305" s="1" t="s">
        <v>23</v>
      </c>
      <c r="O305" t="str">
        <f>TEXT(SalesDataset[[#This Row],[Order_Date]],"mmm")</f>
        <v>Oct</v>
      </c>
      <c r="P305" s="1" t="str">
        <f>TEXT(SalesDataset[[#This Row],[Order_Date]],"YYYY")</f>
        <v>2025</v>
      </c>
      <c r="Q305" s="1" t="str">
        <f>_xlfn.TEXTJOIN(" ",TRUE,SalesDataset[[#This Row],[First_Name]],SalesDataset[[#This Row],[Last_Name]])</f>
        <v>Jordan Wilson</v>
      </c>
    </row>
    <row r="306" spans="1:17" x14ac:dyDescent="0.25">
      <c r="A306" s="1" t="s">
        <v>1301</v>
      </c>
      <c r="B306" s="2">
        <v>46112</v>
      </c>
      <c r="C306" s="1" t="s">
        <v>1302</v>
      </c>
      <c r="D306" s="1" t="s">
        <v>779</v>
      </c>
      <c r="E306" s="1" t="s">
        <v>131</v>
      </c>
      <c r="F306" s="1" t="s">
        <v>1303</v>
      </c>
      <c r="G306" s="1" t="s">
        <v>19</v>
      </c>
      <c r="H306" s="1" t="s">
        <v>80</v>
      </c>
      <c r="I306" s="1" t="s">
        <v>21</v>
      </c>
      <c r="J306">
        <v>3</v>
      </c>
      <c r="K306">
        <v>57332</v>
      </c>
      <c r="L306">
        <v>171996</v>
      </c>
      <c r="M306" s="1" t="s">
        <v>38</v>
      </c>
      <c r="N306" s="1" t="s">
        <v>23</v>
      </c>
      <c r="O306" t="str">
        <f>TEXT(SalesDataset[[#This Row],[Order_Date]],"mmm")</f>
        <v>Mar</v>
      </c>
      <c r="P306" s="1" t="str">
        <f>TEXT(SalesDataset[[#This Row],[Order_Date]],"YYYY")</f>
        <v>2026</v>
      </c>
      <c r="Q306" s="1" t="str">
        <f>_xlfn.TEXTJOIN(" ",TRUE,SalesDataset[[#This Row],[First_Name]],SalesDataset[[#This Row],[Last_Name]])</f>
        <v>Natalie Smith</v>
      </c>
    </row>
    <row r="307" spans="1:17" x14ac:dyDescent="0.25">
      <c r="A307" s="1" t="s">
        <v>1304</v>
      </c>
      <c r="B307" s="2">
        <v>45947</v>
      </c>
      <c r="C307" s="1" t="s">
        <v>1305</v>
      </c>
      <c r="D307" s="1" t="s">
        <v>661</v>
      </c>
      <c r="E307" s="1" t="s">
        <v>1306</v>
      </c>
      <c r="F307" s="1" t="s">
        <v>1307</v>
      </c>
      <c r="G307" s="1" t="s">
        <v>44</v>
      </c>
      <c r="H307" s="1" t="s">
        <v>30</v>
      </c>
      <c r="I307" s="1" t="s">
        <v>21</v>
      </c>
      <c r="J307">
        <v>1</v>
      </c>
      <c r="K307">
        <v>58444</v>
      </c>
      <c r="L307">
        <v>58444</v>
      </c>
      <c r="M307" s="1" t="s">
        <v>38</v>
      </c>
      <c r="N307" s="1" t="s">
        <v>46</v>
      </c>
      <c r="O307" t="str">
        <f>TEXT(SalesDataset[[#This Row],[Order_Date]],"mmm")</f>
        <v>Oct</v>
      </c>
      <c r="P307" s="1" t="str">
        <f>TEXT(SalesDataset[[#This Row],[Order_Date]],"YYYY")</f>
        <v>2025</v>
      </c>
      <c r="Q307" s="1" t="str">
        <f>_xlfn.TEXTJOIN(" ",TRUE,SalesDataset[[#This Row],[First_Name]],SalesDataset[[#This Row],[Last_Name]])</f>
        <v>Kayla Escobar</v>
      </c>
    </row>
    <row r="308" spans="1:17" x14ac:dyDescent="0.25">
      <c r="A308" s="1" t="s">
        <v>1308</v>
      </c>
      <c r="B308" s="2">
        <v>45999</v>
      </c>
      <c r="C308" s="1" t="s">
        <v>1107</v>
      </c>
      <c r="D308" s="1" t="s">
        <v>1309</v>
      </c>
      <c r="E308" s="1" t="s">
        <v>488</v>
      </c>
      <c r="F308" s="1" t="s">
        <v>1310</v>
      </c>
      <c r="G308" s="1" t="s">
        <v>44</v>
      </c>
      <c r="H308" s="1" t="s">
        <v>92</v>
      </c>
      <c r="I308" s="1" t="s">
        <v>21</v>
      </c>
      <c r="J308">
        <v>2</v>
      </c>
      <c r="K308">
        <v>41172</v>
      </c>
      <c r="L308">
        <v>82344</v>
      </c>
      <c r="M308" s="1" t="s">
        <v>38</v>
      </c>
      <c r="N308" s="1" t="s">
        <v>46</v>
      </c>
      <c r="O308" t="str">
        <f>TEXT(SalesDataset[[#This Row],[Order_Date]],"mmm")</f>
        <v>Dec</v>
      </c>
      <c r="P308" s="1" t="str">
        <f>TEXT(SalesDataset[[#This Row],[Order_Date]],"YYYY")</f>
        <v>2025</v>
      </c>
      <c r="Q308" s="1" t="str">
        <f>_xlfn.TEXTJOIN(" ",TRUE,SalesDataset[[#This Row],[First_Name]],SalesDataset[[#This Row],[Last_Name]])</f>
        <v>Annette Johnson</v>
      </c>
    </row>
    <row r="309" spans="1:17" x14ac:dyDescent="0.25">
      <c r="A309" s="1" t="s">
        <v>1311</v>
      </c>
      <c r="B309" s="2">
        <v>45840</v>
      </c>
      <c r="C309" s="1" t="s">
        <v>1312</v>
      </c>
      <c r="D309" s="1" t="s">
        <v>66</v>
      </c>
      <c r="E309" s="1" t="s">
        <v>55</v>
      </c>
      <c r="F309" s="1" t="s">
        <v>1313</v>
      </c>
      <c r="G309" s="1" t="s">
        <v>29</v>
      </c>
      <c r="H309" s="1" t="s">
        <v>45</v>
      </c>
      <c r="I309" s="1" t="s">
        <v>21</v>
      </c>
      <c r="J309">
        <v>2</v>
      </c>
      <c r="K309">
        <v>54171</v>
      </c>
      <c r="L309">
        <v>108342</v>
      </c>
      <c r="M309" s="1" t="s">
        <v>86</v>
      </c>
      <c r="N309" s="1" t="s">
        <v>46</v>
      </c>
      <c r="O309" t="str">
        <f>TEXT(SalesDataset[[#This Row],[Order_Date]],"mmm")</f>
        <v>Jul</v>
      </c>
      <c r="P309" s="1" t="str">
        <f>TEXT(SalesDataset[[#This Row],[Order_Date]],"YYYY")</f>
        <v>2025</v>
      </c>
      <c r="Q309" s="1" t="str">
        <f>_xlfn.TEXTJOIN(" ",TRUE,SalesDataset[[#This Row],[First_Name]],SalesDataset[[#This Row],[Last_Name]])</f>
        <v>Angela Miller</v>
      </c>
    </row>
    <row r="310" spans="1:17" x14ac:dyDescent="0.25">
      <c r="A310" s="1" t="s">
        <v>1314</v>
      </c>
      <c r="B310" s="2">
        <v>46092</v>
      </c>
      <c r="C310" s="1" t="s">
        <v>1315</v>
      </c>
      <c r="D310" s="1" t="s">
        <v>775</v>
      </c>
      <c r="E310" s="1" t="s">
        <v>1112</v>
      </c>
      <c r="F310" s="1" t="s">
        <v>1316</v>
      </c>
      <c r="G310" s="1" t="s">
        <v>102</v>
      </c>
      <c r="H310" s="1" t="s">
        <v>37</v>
      </c>
      <c r="I310" s="1" t="s">
        <v>21</v>
      </c>
      <c r="J310">
        <v>2</v>
      </c>
      <c r="K310">
        <v>14587</v>
      </c>
      <c r="L310">
        <v>29174</v>
      </c>
      <c r="M310" s="1" t="s">
        <v>74</v>
      </c>
      <c r="N310" s="1" t="s">
        <v>23</v>
      </c>
      <c r="O310" t="str">
        <f>TEXT(SalesDataset[[#This Row],[Order_Date]],"mmm")</f>
        <v>Mar</v>
      </c>
      <c r="P310" s="1" t="str">
        <f>TEXT(SalesDataset[[#This Row],[Order_Date]],"YYYY")</f>
        <v>2026</v>
      </c>
      <c r="Q310" s="1" t="str">
        <f>_xlfn.TEXTJOIN(" ",TRUE,SalesDataset[[#This Row],[First_Name]],SalesDataset[[#This Row],[Last_Name]])</f>
        <v>Elizabeth Rosales</v>
      </c>
    </row>
    <row r="311" spans="1:17" x14ac:dyDescent="0.25">
      <c r="A311" s="1" t="s">
        <v>1317</v>
      </c>
      <c r="B311" s="2">
        <v>46025</v>
      </c>
      <c r="C311" s="1" t="s">
        <v>1318</v>
      </c>
      <c r="D311" s="1" t="s">
        <v>521</v>
      </c>
      <c r="E311" s="1" t="s">
        <v>1319</v>
      </c>
      <c r="F311" s="1" t="s">
        <v>1320</v>
      </c>
      <c r="G311" s="1" t="s">
        <v>102</v>
      </c>
      <c r="H311" s="1" t="s">
        <v>62</v>
      </c>
      <c r="I311" s="1" t="s">
        <v>21</v>
      </c>
      <c r="J311">
        <v>4</v>
      </c>
      <c r="K311">
        <v>3935</v>
      </c>
      <c r="L311">
        <v>15740</v>
      </c>
      <c r="M311" s="1" t="s">
        <v>86</v>
      </c>
      <c r="N311" s="1" t="s">
        <v>31</v>
      </c>
      <c r="O311" t="str">
        <f>TEXT(SalesDataset[[#This Row],[Order_Date]],"mmm")</f>
        <v>Jan</v>
      </c>
      <c r="P311" s="1" t="str">
        <f>TEXT(SalesDataset[[#This Row],[Order_Date]],"YYYY")</f>
        <v>2026</v>
      </c>
      <c r="Q311" s="1" t="str">
        <f>_xlfn.TEXTJOIN(" ",TRUE,SalesDataset[[#This Row],[First_Name]],SalesDataset[[#This Row],[Last_Name]])</f>
        <v>Kevin Ingram</v>
      </c>
    </row>
    <row r="312" spans="1:17" x14ac:dyDescent="0.25">
      <c r="A312" s="1" t="s">
        <v>1321</v>
      </c>
      <c r="B312" s="2">
        <v>46077</v>
      </c>
      <c r="C312" s="1" t="s">
        <v>1322</v>
      </c>
      <c r="D312" s="1" t="s">
        <v>49</v>
      </c>
      <c r="E312" s="1" t="s">
        <v>1323</v>
      </c>
      <c r="F312" s="1" t="s">
        <v>1324</v>
      </c>
      <c r="G312" s="1" t="s">
        <v>29</v>
      </c>
      <c r="H312" s="1" t="s">
        <v>45</v>
      </c>
      <c r="I312" s="1" t="s">
        <v>21</v>
      </c>
      <c r="J312">
        <v>2</v>
      </c>
      <c r="K312">
        <v>54307</v>
      </c>
      <c r="L312">
        <v>108614</v>
      </c>
      <c r="M312" s="1" t="s">
        <v>38</v>
      </c>
      <c r="N312" s="1" t="s">
        <v>23</v>
      </c>
      <c r="O312" t="str">
        <f>TEXT(SalesDataset[[#This Row],[Order_Date]],"mmm")</f>
        <v>Feb</v>
      </c>
      <c r="P312" s="1" t="str">
        <f>TEXT(SalesDataset[[#This Row],[Order_Date]],"YYYY")</f>
        <v>2026</v>
      </c>
      <c r="Q312" s="1" t="str">
        <f>_xlfn.TEXTJOIN(" ",TRUE,SalesDataset[[#This Row],[First_Name]],SalesDataset[[#This Row],[Last_Name]])</f>
        <v>Eric Kent</v>
      </c>
    </row>
    <row r="313" spans="1:17" x14ac:dyDescent="0.25">
      <c r="A313" s="1" t="s">
        <v>1325</v>
      </c>
      <c r="B313" s="2">
        <v>45787</v>
      </c>
      <c r="C313" s="1" t="s">
        <v>1027</v>
      </c>
      <c r="D313" s="1" t="s">
        <v>1326</v>
      </c>
      <c r="E313" s="1" t="s">
        <v>895</v>
      </c>
      <c r="F313" s="1" t="s">
        <v>1327</v>
      </c>
      <c r="G313" s="1" t="s">
        <v>44</v>
      </c>
      <c r="H313" s="1" t="s">
        <v>80</v>
      </c>
      <c r="I313" s="1" t="s">
        <v>21</v>
      </c>
      <c r="J313">
        <v>3</v>
      </c>
      <c r="K313">
        <v>45561</v>
      </c>
      <c r="L313">
        <v>136683</v>
      </c>
      <c r="M313" s="1" t="s">
        <v>38</v>
      </c>
      <c r="N313" s="1" t="s">
        <v>23</v>
      </c>
      <c r="O313" t="str">
        <f>TEXT(SalesDataset[[#This Row],[Order_Date]],"mmm")</f>
        <v>May</v>
      </c>
      <c r="P313" s="1" t="str">
        <f>TEXT(SalesDataset[[#This Row],[Order_Date]],"YYYY")</f>
        <v>2025</v>
      </c>
      <c r="Q313" s="1" t="str">
        <f>_xlfn.TEXTJOIN(" ",TRUE,SalesDataset[[#This Row],[First_Name]],SalesDataset[[#This Row],[Last_Name]])</f>
        <v>Tammy Cole</v>
      </c>
    </row>
    <row r="314" spans="1:17" x14ac:dyDescent="0.25">
      <c r="A314" s="1" t="s">
        <v>1328</v>
      </c>
      <c r="B314" s="2">
        <v>46001</v>
      </c>
      <c r="C314" s="1" t="s">
        <v>1329</v>
      </c>
      <c r="D314" s="1" t="s">
        <v>1330</v>
      </c>
      <c r="E314" s="1" t="s">
        <v>1331</v>
      </c>
      <c r="F314" s="1" t="s">
        <v>1332</v>
      </c>
      <c r="G314" s="1" t="s">
        <v>19</v>
      </c>
      <c r="H314" s="1" t="s">
        <v>20</v>
      </c>
      <c r="I314" s="1" t="s">
        <v>21</v>
      </c>
      <c r="J314">
        <v>4</v>
      </c>
      <c r="K314">
        <v>66879</v>
      </c>
      <c r="L314">
        <v>267516</v>
      </c>
      <c r="M314" s="1" t="s">
        <v>74</v>
      </c>
      <c r="N314" s="1" t="s">
        <v>31</v>
      </c>
      <c r="O314" t="str">
        <f>TEXT(SalesDataset[[#This Row],[Order_Date]],"mmm")</f>
        <v>Dec</v>
      </c>
      <c r="P314" s="1" t="str">
        <f>TEXT(SalesDataset[[#This Row],[Order_Date]],"YYYY")</f>
        <v>2025</v>
      </c>
      <c r="Q314" s="1" t="str">
        <f>_xlfn.TEXTJOIN(" ",TRUE,SalesDataset[[#This Row],[First_Name]],SalesDataset[[#This Row],[Last_Name]])</f>
        <v>Jacqueline Cline</v>
      </c>
    </row>
    <row r="315" spans="1:17" x14ac:dyDescent="0.25">
      <c r="A315" s="1" t="s">
        <v>1333</v>
      </c>
      <c r="B315" s="2">
        <v>45934</v>
      </c>
      <c r="C315" s="1" t="s">
        <v>1334</v>
      </c>
      <c r="D315" s="1" t="s">
        <v>1138</v>
      </c>
      <c r="E315" s="1" t="s">
        <v>16</v>
      </c>
      <c r="F315" s="1" t="s">
        <v>1335</v>
      </c>
      <c r="G315" s="1" t="s">
        <v>19</v>
      </c>
      <c r="H315" s="1" t="s">
        <v>92</v>
      </c>
      <c r="I315" s="1" t="s">
        <v>21</v>
      </c>
      <c r="J315">
        <v>2</v>
      </c>
      <c r="K315">
        <v>68547</v>
      </c>
      <c r="L315">
        <v>137094</v>
      </c>
      <c r="M315" s="1" t="s">
        <v>74</v>
      </c>
      <c r="N315" s="1" t="s">
        <v>23</v>
      </c>
      <c r="O315" t="str">
        <f>TEXT(SalesDataset[[#This Row],[Order_Date]],"mmm")</f>
        <v>Oct</v>
      </c>
      <c r="P315" s="1" t="str">
        <f>TEXT(SalesDataset[[#This Row],[Order_Date]],"YYYY")</f>
        <v>2025</v>
      </c>
      <c r="Q315" s="1" t="str">
        <f>_xlfn.TEXTJOIN(" ",TRUE,SalesDataset[[#This Row],[First_Name]],SalesDataset[[#This Row],[Last_Name]])</f>
        <v>Shannon Bryan</v>
      </c>
    </row>
    <row r="316" spans="1:17" x14ac:dyDescent="0.25">
      <c r="A316" s="1" t="s">
        <v>1336</v>
      </c>
      <c r="B316" s="2">
        <v>45823</v>
      </c>
      <c r="C316" s="1" t="s">
        <v>1337</v>
      </c>
      <c r="D316" s="1" t="s">
        <v>77</v>
      </c>
      <c r="E316" s="1" t="s">
        <v>450</v>
      </c>
      <c r="F316" s="1" t="s">
        <v>1338</v>
      </c>
      <c r="G316" s="1" t="s">
        <v>44</v>
      </c>
      <c r="H316" s="1" t="s">
        <v>45</v>
      </c>
      <c r="I316" s="1" t="s">
        <v>21</v>
      </c>
      <c r="J316">
        <v>3</v>
      </c>
      <c r="K316">
        <v>9461</v>
      </c>
      <c r="L316">
        <v>28383</v>
      </c>
      <c r="M316" s="1" t="s">
        <v>22</v>
      </c>
      <c r="N316" s="1" t="s">
        <v>46</v>
      </c>
      <c r="O316" t="str">
        <f>TEXT(SalesDataset[[#This Row],[Order_Date]],"mmm")</f>
        <v>Jun</v>
      </c>
      <c r="P316" s="1" t="str">
        <f>TEXT(SalesDataset[[#This Row],[Order_Date]],"YYYY")</f>
        <v>2025</v>
      </c>
      <c r="Q316" s="1" t="str">
        <f>_xlfn.TEXTJOIN(" ",TRUE,SalesDataset[[#This Row],[First_Name]],SalesDataset[[#This Row],[Last_Name]])</f>
        <v>Mark Jones</v>
      </c>
    </row>
    <row r="317" spans="1:17" x14ac:dyDescent="0.25">
      <c r="A317" s="1" t="s">
        <v>1339</v>
      </c>
      <c r="B317" s="2">
        <v>46134</v>
      </c>
      <c r="C317" s="1" t="s">
        <v>1340</v>
      </c>
      <c r="D317" s="1" t="s">
        <v>1341</v>
      </c>
      <c r="E317" s="1" t="s">
        <v>1342</v>
      </c>
      <c r="F317" s="1" t="s">
        <v>1343</v>
      </c>
      <c r="G317" s="1" t="s">
        <v>102</v>
      </c>
      <c r="H317" s="1" t="s">
        <v>30</v>
      </c>
      <c r="I317" s="1" t="s">
        <v>21</v>
      </c>
      <c r="J317">
        <v>1</v>
      </c>
      <c r="K317">
        <v>7388</v>
      </c>
      <c r="L317">
        <v>7388</v>
      </c>
      <c r="M317" s="1" t="s">
        <v>22</v>
      </c>
      <c r="N317" s="1" t="s">
        <v>46</v>
      </c>
      <c r="O317" t="str">
        <f>TEXT(SalesDataset[[#This Row],[Order_Date]],"mmm")</f>
        <v>Apr</v>
      </c>
      <c r="P317" s="1" t="str">
        <f>TEXT(SalesDataset[[#This Row],[Order_Date]],"YYYY")</f>
        <v>2026</v>
      </c>
      <c r="Q317" s="1" t="str">
        <f>_xlfn.TEXTJOIN(" ",TRUE,SalesDataset[[#This Row],[First_Name]],SalesDataset[[#This Row],[Last_Name]])</f>
        <v>Harold Hess</v>
      </c>
    </row>
    <row r="318" spans="1:17" x14ac:dyDescent="0.25">
      <c r="A318" s="1" t="s">
        <v>1344</v>
      </c>
      <c r="B318" s="2">
        <v>45971</v>
      </c>
      <c r="C318" s="1" t="s">
        <v>453</v>
      </c>
      <c r="D318" s="1" t="s">
        <v>1345</v>
      </c>
      <c r="E318" s="1" t="s">
        <v>1346</v>
      </c>
      <c r="F318" s="1" t="s">
        <v>1347</v>
      </c>
      <c r="G318" s="1" t="s">
        <v>29</v>
      </c>
      <c r="H318" s="1" t="s">
        <v>20</v>
      </c>
      <c r="I318" s="1" t="s">
        <v>21</v>
      </c>
      <c r="J318">
        <v>1</v>
      </c>
      <c r="K318">
        <v>77723</v>
      </c>
      <c r="L318">
        <v>77723</v>
      </c>
      <c r="M318" s="1" t="s">
        <v>86</v>
      </c>
      <c r="N318" s="1" t="s">
        <v>46</v>
      </c>
      <c r="O318" t="str">
        <f>TEXT(SalesDataset[[#This Row],[Order_Date]],"mmm")</f>
        <v>Nov</v>
      </c>
      <c r="P318" s="1" t="str">
        <f>TEXT(SalesDataset[[#This Row],[Order_Date]],"YYYY")</f>
        <v>2025</v>
      </c>
      <c r="Q318" s="1" t="str">
        <f>_xlfn.TEXTJOIN(" ",TRUE,SalesDataset[[#This Row],[First_Name]],SalesDataset[[#This Row],[Last_Name]])</f>
        <v>Yolanda Clark</v>
      </c>
    </row>
    <row r="319" spans="1:17" x14ac:dyDescent="0.25">
      <c r="A319" s="1" t="s">
        <v>1348</v>
      </c>
      <c r="B319" s="2">
        <v>45980</v>
      </c>
      <c r="C319" s="1" t="s">
        <v>1349</v>
      </c>
      <c r="D319" s="1" t="s">
        <v>1296</v>
      </c>
      <c r="E319" s="1" t="s">
        <v>1350</v>
      </c>
      <c r="F319" s="1" t="s">
        <v>1351</v>
      </c>
      <c r="G319" s="1" t="s">
        <v>19</v>
      </c>
      <c r="H319" s="1" t="s">
        <v>45</v>
      </c>
      <c r="I319" s="1" t="s">
        <v>21</v>
      </c>
      <c r="J319">
        <v>1</v>
      </c>
      <c r="K319">
        <v>65006</v>
      </c>
      <c r="L319">
        <v>65006</v>
      </c>
      <c r="M319" s="1" t="s">
        <v>86</v>
      </c>
      <c r="N319" s="1" t="s">
        <v>46</v>
      </c>
      <c r="O319" t="str">
        <f>TEXT(SalesDataset[[#This Row],[Order_Date]],"mmm")</f>
        <v>Nov</v>
      </c>
      <c r="P319" s="1" t="str">
        <f>TEXT(SalesDataset[[#This Row],[Order_Date]],"YYYY")</f>
        <v>2025</v>
      </c>
      <c r="Q319" s="1" t="str">
        <f>_xlfn.TEXTJOIN(" ",TRUE,SalesDataset[[#This Row],[First_Name]],SalesDataset[[#This Row],[Last_Name]])</f>
        <v>Stephen Stanley</v>
      </c>
    </row>
    <row r="320" spans="1:17" x14ac:dyDescent="0.25">
      <c r="A320" s="1" t="s">
        <v>1352</v>
      </c>
      <c r="B320" s="2">
        <v>45868</v>
      </c>
      <c r="C320" s="1" t="s">
        <v>1353</v>
      </c>
      <c r="D320" s="1" t="s">
        <v>693</v>
      </c>
      <c r="E320" s="1" t="s">
        <v>1354</v>
      </c>
      <c r="F320" s="1" t="s">
        <v>1355</v>
      </c>
      <c r="G320" s="1" t="s">
        <v>29</v>
      </c>
      <c r="H320" s="1" t="s">
        <v>30</v>
      </c>
      <c r="I320" s="1" t="s">
        <v>21</v>
      </c>
      <c r="J320">
        <v>5</v>
      </c>
      <c r="K320">
        <v>15689</v>
      </c>
      <c r="L320">
        <v>78445</v>
      </c>
      <c r="M320" s="1" t="s">
        <v>74</v>
      </c>
      <c r="N320" s="1" t="s">
        <v>31</v>
      </c>
      <c r="O320" t="str">
        <f>TEXT(SalesDataset[[#This Row],[Order_Date]],"mmm")</f>
        <v>Jul</v>
      </c>
      <c r="P320" s="1" t="str">
        <f>TEXT(SalesDataset[[#This Row],[Order_Date]],"YYYY")</f>
        <v>2025</v>
      </c>
      <c r="Q320" s="1" t="str">
        <f>_xlfn.TEXTJOIN(" ",TRUE,SalesDataset[[#This Row],[First_Name]],SalesDataset[[#This Row],[Last_Name]])</f>
        <v>Jessica Camacho</v>
      </c>
    </row>
    <row r="321" spans="1:17" x14ac:dyDescent="0.25">
      <c r="A321" s="1" t="s">
        <v>1356</v>
      </c>
      <c r="B321" s="2">
        <v>45894</v>
      </c>
      <c r="C321" s="1" t="s">
        <v>990</v>
      </c>
      <c r="D321" s="1" t="s">
        <v>366</v>
      </c>
      <c r="E321" s="1" t="s">
        <v>281</v>
      </c>
      <c r="F321" s="1" t="s">
        <v>1357</v>
      </c>
      <c r="G321" s="1" t="s">
        <v>102</v>
      </c>
      <c r="H321" s="1" t="s">
        <v>92</v>
      </c>
      <c r="I321" s="1" t="s">
        <v>21</v>
      </c>
      <c r="J321">
        <v>5</v>
      </c>
      <c r="K321">
        <v>59907</v>
      </c>
      <c r="L321">
        <v>299535</v>
      </c>
      <c r="M321" s="1" t="s">
        <v>63</v>
      </c>
      <c r="N321" s="1" t="s">
        <v>23</v>
      </c>
      <c r="O321" t="str">
        <f>TEXT(SalesDataset[[#This Row],[Order_Date]],"mmm")</f>
        <v>Aug</v>
      </c>
      <c r="P321" s="1" t="str">
        <f>TEXT(SalesDataset[[#This Row],[Order_Date]],"YYYY")</f>
        <v>2025</v>
      </c>
      <c r="Q321" s="1" t="str">
        <f>_xlfn.TEXTJOIN(" ",TRUE,SalesDataset[[#This Row],[First_Name]],SalesDataset[[#This Row],[Last_Name]])</f>
        <v>Joseph Thomas</v>
      </c>
    </row>
    <row r="322" spans="1:17" x14ac:dyDescent="0.25">
      <c r="A322" s="1" t="s">
        <v>1358</v>
      </c>
      <c r="B322" s="2">
        <v>46115</v>
      </c>
      <c r="C322" s="1" t="s">
        <v>197</v>
      </c>
      <c r="D322" s="1" t="s">
        <v>1359</v>
      </c>
      <c r="E322" s="1" t="s">
        <v>1360</v>
      </c>
      <c r="F322" s="1" t="s">
        <v>1361</v>
      </c>
      <c r="G322" s="1" t="s">
        <v>102</v>
      </c>
      <c r="H322" s="1" t="s">
        <v>45</v>
      </c>
      <c r="I322" s="1" t="s">
        <v>21</v>
      </c>
      <c r="J322">
        <v>3</v>
      </c>
      <c r="K322">
        <v>55669</v>
      </c>
      <c r="L322">
        <v>167007</v>
      </c>
      <c r="M322" s="1" t="s">
        <v>22</v>
      </c>
      <c r="N322" s="1" t="s">
        <v>23</v>
      </c>
      <c r="O322" t="str">
        <f>TEXT(SalesDataset[[#This Row],[Order_Date]],"mmm")</f>
        <v>Apr</v>
      </c>
      <c r="P322" s="1" t="str">
        <f>TEXT(SalesDataset[[#This Row],[Order_Date]],"YYYY")</f>
        <v>2026</v>
      </c>
      <c r="Q322" s="1" t="str">
        <f>_xlfn.TEXTJOIN(" ",TRUE,SalesDataset[[#This Row],[First_Name]],SalesDataset[[#This Row],[Last_Name]])</f>
        <v>Caitlin Johnston</v>
      </c>
    </row>
    <row r="323" spans="1:17" x14ac:dyDescent="0.25">
      <c r="A323" s="1" t="s">
        <v>1362</v>
      </c>
      <c r="B323" s="2">
        <v>45925</v>
      </c>
      <c r="C323" s="1" t="s">
        <v>997</v>
      </c>
      <c r="D323" s="1" t="s">
        <v>1363</v>
      </c>
      <c r="E323" s="1" t="s">
        <v>730</v>
      </c>
      <c r="F323" s="1" t="s">
        <v>1364</v>
      </c>
      <c r="G323" s="1" t="s">
        <v>44</v>
      </c>
      <c r="H323" s="1" t="s">
        <v>37</v>
      </c>
      <c r="I323" s="1" t="s">
        <v>21</v>
      </c>
      <c r="J323">
        <v>4</v>
      </c>
      <c r="K323">
        <v>15851</v>
      </c>
      <c r="L323">
        <v>63404</v>
      </c>
      <c r="M323" s="1" t="s">
        <v>74</v>
      </c>
      <c r="N323" s="1" t="s">
        <v>31</v>
      </c>
      <c r="O323" t="str">
        <f>TEXT(SalesDataset[[#This Row],[Order_Date]],"mmm")</f>
        <v>Sep</v>
      </c>
      <c r="P323" s="1" t="str">
        <f>TEXT(SalesDataset[[#This Row],[Order_Date]],"YYYY")</f>
        <v>2025</v>
      </c>
      <c r="Q323" s="1" t="str">
        <f>_xlfn.TEXTJOIN(" ",TRUE,SalesDataset[[#This Row],[First_Name]],SalesDataset[[#This Row],[Last_Name]])</f>
        <v>Erika Tate</v>
      </c>
    </row>
    <row r="324" spans="1:17" x14ac:dyDescent="0.25">
      <c r="A324" s="1" t="s">
        <v>1365</v>
      </c>
      <c r="B324" s="2">
        <v>45905</v>
      </c>
      <c r="C324" s="1" t="s">
        <v>1366</v>
      </c>
      <c r="D324" s="1" t="s">
        <v>642</v>
      </c>
      <c r="E324" s="1" t="s">
        <v>370</v>
      </c>
      <c r="F324" s="1" t="s">
        <v>1367</v>
      </c>
      <c r="G324" s="1" t="s">
        <v>44</v>
      </c>
      <c r="H324" s="1" t="s">
        <v>20</v>
      </c>
      <c r="I324" s="1" t="s">
        <v>21</v>
      </c>
      <c r="J324">
        <v>5</v>
      </c>
      <c r="K324">
        <v>56575</v>
      </c>
      <c r="L324">
        <v>282875</v>
      </c>
      <c r="M324" s="1" t="s">
        <v>86</v>
      </c>
      <c r="N324" s="1" t="s">
        <v>31</v>
      </c>
      <c r="O324" t="str">
        <f>TEXT(SalesDataset[[#This Row],[Order_Date]],"mmm")</f>
        <v>Sep</v>
      </c>
      <c r="P324" s="1" t="str">
        <f>TEXT(SalesDataset[[#This Row],[Order_Date]],"YYYY")</f>
        <v>2025</v>
      </c>
      <c r="Q324" s="1" t="str">
        <f>_xlfn.TEXTJOIN(" ",TRUE,SalesDataset[[#This Row],[First_Name]],SalesDataset[[#This Row],[Last_Name]])</f>
        <v>Andrew Thompson</v>
      </c>
    </row>
    <row r="325" spans="1:17" x14ac:dyDescent="0.25">
      <c r="A325" s="1" t="s">
        <v>1368</v>
      </c>
      <c r="B325" s="2">
        <v>45894</v>
      </c>
      <c r="C325" s="1" t="s">
        <v>1369</v>
      </c>
      <c r="D325" s="1" t="s">
        <v>548</v>
      </c>
      <c r="E325" s="1" t="s">
        <v>1370</v>
      </c>
      <c r="F325" s="1" t="s">
        <v>1371</v>
      </c>
      <c r="G325" s="1" t="s">
        <v>44</v>
      </c>
      <c r="H325" s="1" t="s">
        <v>37</v>
      </c>
      <c r="I325" s="1" t="s">
        <v>21</v>
      </c>
      <c r="J325">
        <v>1</v>
      </c>
      <c r="K325">
        <v>78796</v>
      </c>
      <c r="L325">
        <v>78796</v>
      </c>
      <c r="M325" s="1" t="s">
        <v>74</v>
      </c>
      <c r="N325" s="1" t="s">
        <v>46</v>
      </c>
      <c r="O325" t="str">
        <f>TEXT(SalesDataset[[#This Row],[Order_Date]],"mmm")</f>
        <v>Aug</v>
      </c>
      <c r="P325" s="1" t="str">
        <f>TEXT(SalesDataset[[#This Row],[Order_Date]],"YYYY")</f>
        <v>2025</v>
      </c>
      <c r="Q325" s="1" t="str">
        <f>_xlfn.TEXTJOIN(" ",TRUE,SalesDataset[[#This Row],[First_Name]],SalesDataset[[#This Row],[Last_Name]])</f>
        <v>James Francis</v>
      </c>
    </row>
    <row r="326" spans="1:17" x14ac:dyDescent="0.25">
      <c r="A326" s="1" t="s">
        <v>1372</v>
      </c>
      <c r="B326" s="2">
        <v>46023</v>
      </c>
      <c r="C326" s="1" t="s">
        <v>1373</v>
      </c>
      <c r="D326" s="1" t="s">
        <v>1374</v>
      </c>
      <c r="E326" s="1" t="s">
        <v>945</v>
      </c>
      <c r="F326" s="1" t="s">
        <v>1375</v>
      </c>
      <c r="G326" s="1" t="s">
        <v>19</v>
      </c>
      <c r="H326" s="1" t="s">
        <v>92</v>
      </c>
      <c r="I326" s="1" t="s">
        <v>21</v>
      </c>
      <c r="J326">
        <v>3</v>
      </c>
      <c r="K326">
        <v>49223</v>
      </c>
      <c r="L326">
        <v>147669</v>
      </c>
      <c r="M326" s="1" t="s">
        <v>63</v>
      </c>
      <c r="N326" s="1" t="s">
        <v>31</v>
      </c>
      <c r="O326" t="str">
        <f>TEXT(SalesDataset[[#This Row],[Order_Date]],"mmm")</f>
        <v>Jan</v>
      </c>
      <c r="P326" s="1" t="str">
        <f>TEXT(SalesDataset[[#This Row],[Order_Date]],"YYYY")</f>
        <v>2026</v>
      </c>
      <c r="Q326" s="1" t="str">
        <f>_xlfn.TEXTJOIN(" ",TRUE,SalesDataset[[#This Row],[First_Name]],SalesDataset[[#This Row],[Last_Name]])</f>
        <v>Bradley Rasmussen DVM</v>
      </c>
    </row>
    <row r="327" spans="1:17" x14ac:dyDescent="0.25">
      <c r="A327" s="1" t="s">
        <v>1376</v>
      </c>
      <c r="B327" s="2">
        <v>46137</v>
      </c>
      <c r="C327" s="1" t="s">
        <v>1322</v>
      </c>
      <c r="D327" s="1" t="s">
        <v>796</v>
      </c>
      <c r="E327" s="1" t="s">
        <v>483</v>
      </c>
      <c r="F327" s="1" t="s">
        <v>1377</v>
      </c>
      <c r="G327" s="1" t="s">
        <v>102</v>
      </c>
      <c r="H327" s="1" t="s">
        <v>37</v>
      </c>
      <c r="I327" s="1" t="s">
        <v>21</v>
      </c>
      <c r="J327">
        <v>1</v>
      </c>
      <c r="K327">
        <v>29107</v>
      </c>
      <c r="L327">
        <v>29107</v>
      </c>
      <c r="M327" s="1" t="s">
        <v>63</v>
      </c>
      <c r="N327" s="1" t="s">
        <v>23</v>
      </c>
      <c r="O327" t="str">
        <f>TEXT(SalesDataset[[#This Row],[Order_Date]],"mmm")</f>
        <v>Apr</v>
      </c>
      <c r="P327" s="1" t="str">
        <f>TEXT(SalesDataset[[#This Row],[Order_Date]],"YYYY")</f>
        <v>2026</v>
      </c>
      <c r="Q327" s="1" t="str">
        <f>_xlfn.TEXTJOIN(" ",TRUE,SalesDataset[[#This Row],[First_Name]],SalesDataset[[#This Row],[Last_Name]])</f>
        <v>Lauren Bryant</v>
      </c>
    </row>
    <row r="328" spans="1:17" x14ac:dyDescent="0.25">
      <c r="A328" s="1" t="s">
        <v>1378</v>
      </c>
      <c r="B328" s="2">
        <v>45975</v>
      </c>
      <c r="C328" s="1" t="s">
        <v>778</v>
      </c>
      <c r="D328" s="1" t="s">
        <v>855</v>
      </c>
      <c r="E328" s="1" t="s">
        <v>1379</v>
      </c>
      <c r="F328" s="1" t="s">
        <v>1380</v>
      </c>
      <c r="G328" s="1" t="s">
        <v>19</v>
      </c>
      <c r="H328" s="1" t="s">
        <v>37</v>
      </c>
      <c r="I328" s="1" t="s">
        <v>21</v>
      </c>
      <c r="J328">
        <v>5</v>
      </c>
      <c r="K328">
        <v>48645</v>
      </c>
      <c r="L328">
        <v>243225</v>
      </c>
      <c r="M328" s="1" t="s">
        <v>74</v>
      </c>
      <c r="N328" s="1" t="s">
        <v>46</v>
      </c>
      <c r="O328" t="str">
        <f>TEXT(SalesDataset[[#This Row],[Order_Date]],"mmm")</f>
        <v>Nov</v>
      </c>
      <c r="P328" s="1" t="str">
        <f>TEXT(SalesDataset[[#This Row],[Order_Date]],"YYYY")</f>
        <v>2025</v>
      </c>
      <c r="Q328" s="1" t="str">
        <f>_xlfn.TEXTJOIN(" ",TRUE,SalesDataset[[#This Row],[First_Name]],SalesDataset[[#This Row],[Last_Name]])</f>
        <v>Steven Rogers</v>
      </c>
    </row>
    <row r="329" spans="1:17" x14ac:dyDescent="0.25">
      <c r="A329" s="1" t="s">
        <v>1381</v>
      </c>
      <c r="B329" s="2">
        <v>45839</v>
      </c>
      <c r="C329" s="1" t="s">
        <v>1382</v>
      </c>
      <c r="D329" s="1" t="s">
        <v>1383</v>
      </c>
      <c r="E329" s="1" t="s">
        <v>126</v>
      </c>
      <c r="F329" s="1" t="s">
        <v>1384</v>
      </c>
      <c r="G329" s="1" t="s">
        <v>44</v>
      </c>
      <c r="H329" s="1" t="s">
        <v>37</v>
      </c>
      <c r="I329" s="1" t="s">
        <v>21</v>
      </c>
      <c r="J329">
        <v>2</v>
      </c>
      <c r="K329">
        <v>46008</v>
      </c>
      <c r="L329">
        <v>92016</v>
      </c>
      <c r="M329" s="1" t="s">
        <v>38</v>
      </c>
      <c r="N329" s="1" t="s">
        <v>46</v>
      </c>
      <c r="O329" t="str">
        <f>TEXT(SalesDataset[[#This Row],[Order_Date]],"mmm")</f>
        <v>Jul</v>
      </c>
      <c r="P329" s="1" t="str">
        <f>TEXT(SalesDataset[[#This Row],[Order_Date]],"YYYY")</f>
        <v>2025</v>
      </c>
      <c r="Q329" s="1" t="str">
        <f>_xlfn.TEXTJOIN(" ",TRUE,SalesDataset[[#This Row],[First_Name]],SalesDataset[[#This Row],[Last_Name]])</f>
        <v>Victor Phillips</v>
      </c>
    </row>
    <row r="330" spans="1:17" x14ac:dyDescent="0.25">
      <c r="A330" s="1" t="s">
        <v>1385</v>
      </c>
      <c r="B330" s="2">
        <v>45897</v>
      </c>
      <c r="C330" s="1" t="s">
        <v>1386</v>
      </c>
      <c r="D330" s="1" t="s">
        <v>1387</v>
      </c>
      <c r="E330" s="1" t="s">
        <v>792</v>
      </c>
      <c r="F330" s="1" t="s">
        <v>1388</v>
      </c>
      <c r="G330" s="1" t="s">
        <v>102</v>
      </c>
      <c r="H330" s="1" t="s">
        <v>62</v>
      </c>
      <c r="I330" s="1" t="s">
        <v>21</v>
      </c>
      <c r="J330">
        <v>5</v>
      </c>
      <c r="K330">
        <v>71588</v>
      </c>
      <c r="L330">
        <v>357940</v>
      </c>
      <c r="M330" s="1" t="s">
        <v>38</v>
      </c>
      <c r="N330" s="1" t="s">
        <v>31</v>
      </c>
      <c r="O330" t="str">
        <f>TEXT(SalesDataset[[#This Row],[Order_Date]],"mmm")</f>
        <v>Aug</v>
      </c>
      <c r="P330" s="1" t="str">
        <f>TEXT(SalesDataset[[#This Row],[Order_Date]],"YYYY")</f>
        <v>2025</v>
      </c>
      <c r="Q330" s="1" t="str">
        <f>_xlfn.TEXTJOIN(" ",TRUE,SalesDataset[[#This Row],[First_Name]],SalesDataset[[#This Row],[Last_Name]])</f>
        <v>Dana Wise</v>
      </c>
    </row>
    <row r="331" spans="1:17" x14ac:dyDescent="0.25">
      <c r="A331" s="1" t="s">
        <v>1389</v>
      </c>
      <c r="B331" s="2">
        <v>45872</v>
      </c>
      <c r="C331" s="1" t="s">
        <v>1390</v>
      </c>
      <c r="D331" s="1" t="s">
        <v>1391</v>
      </c>
      <c r="E331" s="1" t="s">
        <v>1392</v>
      </c>
      <c r="F331" s="1" t="s">
        <v>1393</v>
      </c>
      <c r="G331" s="1" t="s">
        <v>19</v>
      </c>
      <c r="H331" s="1" t="s">
        <v>62</v>
      </c>
      <c r="I331" s="1" t="s">
        <v>21</v>
      </c>
      <c r="J331">
        <v>3</v>
      </c>
      <c r="K331">
        <v>57963</v>
      </c>
      <c r="L331">
        <v>173889</v>
      </c>
      <c r="M331" s="1" t="s">
        <v>38</v>
      </c>
      <c r="N331" s="1" t="s">
        <v>23</v>
      </c>
      <c r="O331" t="str">
        <f>TEXT(SalesDataset[[#This Row],[Order_Date]],"mmm")</f>
        <v>Aug</v>
      </c>
      <c r="P331" s="1" t="str">
        <f>TEXT(SalesDataset[[#This Row],[Order_Date]],"YYYY")</f>
        <v>2025</v>
      </c>
      <c r="Q331" s="1" t="str">
        <f>_xlfn.TEXTJOIN(" ",TRUE,SalesDataset[[#This Row],[First_Name]],SalesDataset[[#This Row],[Last_Name]])</f>
        <v>Barbara Flynn</v>
      </c>
    </row>
    <row r="332" spans="1:17" x14ac:dyDescent="0.25">
      <c r="A332" s="1" t="s">
        <v>1394</v>
      </c>
      <c r="B332" s="2">
        <v>45989</v>
      </c>
      <c r="C332" s="1" t="s">
        <v>1191</v>
      </c>
      <c r="D332" s="1" t="s">
        <v>666</v>
      </c>
      <c r="E332" s="1" t="s">
        <v>1123</v>
      </c>
      <c r="F332" s="1" t="s">
        <v>1395</v>
      </c>
      <c r="G332" s="1" t="s">
        <v>102</v>
      </c>
      <c r="H332" s="1" t="s">
        <v>20</v>
      </c>
      <c r="I332" s="1" t="s">
        <v>21</v>
      </c>
      <c r="J332">
        <v>5</v>
      </c>
      <c r="K332">
        <v>28343</v>
      </c>
      <c r="L332">
        <v>141715</v>
      </c>
      <c r="M332" s="1" t="s">
        <v>63</v>
      </c>
      <c r="N332" s="1" t="s">
        <v>46</v>
      </c>
      <c r="O332" t="str">
        <f>TEXT(SalesDataset[[#This Row],[Order_Date]],"mmm")</f>
        <v>Nov</v>
      </c>
      <c r="P332" s="1" t="str">
        <f>TEXT(SalesDataset[[#This Row],[Order_Date]],"YYYY")</f>
        <v>2025</v>
      </c>
      <c r="Q332" s="1" t="str">
        <f>_xlfn.TEXTJOIN(" ",TRUE,SalesDataset[[#This Row],[First_Name]],SalesDataset[[#This Row],[Last_Name]])</f>
        <v>Brittany Nelson</v>
      </c>
    </row>
    <row r="333" spans="1:17" x14ac:dyDescent="0.25">
      <c r="A333" s="1" t="s">
        <v>1396</v>
      </c>
      <c r="B333" s="2">
        <v>45958</v>
      </c>
      <c r="C333" s="1" t="s">
        <v>1107</v>
      </c>
      <c r="D333" s="1" t="s">
        <v>1397</v>
      </c>
      <c r="E333" s="1" t="s">
        <v>1398</v>
      </c>
      <c r="F333" s="1" t="s">
        <v>1399</v>
      </c>
      <c r="G333" s="1" t="s">
        <v>29</v>
      </c>
      <c r="H333" s="1" t="s">
        <v>80</v>
      </c>
      <c r="I333" s="1" t="s">
        <v>21</v>
      </c>
      <c r="J333">
        <v>5</v>
      </c>
      <c r="K333">
        <v>37160</v>
      </c>
      <c r="L333">
        <v>185800</v>
      </c>
      <c r="M333" s="1" t="s">
        <v>22</v>
      </c>
      <c r="N333" s="1" t="s">
        <v>23</v>
      </c>
      <c r="O333" t="str">
        <f>TEXT(SalesDataset[[#This Row],[Order_Date]],"mmm")</f>
        <v>Oct</v>
      </c>
      <c r="P333" s="1" t="str">
        <f>TEXT(SalesDataset[[#This Row],[Order_Date]],"YYYY")</f>
        <v>2025</v>
      </c>
      <c r="Q333" s="1" t="str">
        <f>_xlfn.TEXTJOIN(" ",TRUE,SalesDataset[[#This Row],[First_Name]],SalesDataset[[#This Row],[Last_Name]])</f>
        <v>Edward Simon</v>
      </c>
    </row>
    <row r="334" spans="1:17" x14ac:dyDescent="0.25">
      <c r="A334" s="1" t="s">
        <v>1400</v>
      </c>
      <c r="B334" s="2">
        <v>45826</v>
      </c>
      <c r="C334" s="1" t="s">
        <v>1401</v>
      </c>
      <c r="D334" s="1" t="s">
        <v>1402</v>
      </c>
      <c r="E334" s="1" t="s">
        <v>1403</v>
      </c>
      <c r="F334" s="1" t="s">
        <v>1404</v>
      </c>
      <c r="G334" s="1" t="s">
        <v>44</v>
      </c>
      <c r="H334" s="1" t="s">
        <v>45</v>
      </c>
      <c r="I334" s="1" t="s">
        <v>21</v>
      </c>
      <c r="J334">
        <v>1</v>
      </c>
      <c r="K334">
        <v>50270</v>
      </c>
      <c r="L334">
        <v>50270</v>
      </c>
      <c r="M334" s="1" t="s">
        <v>63</v>
      </c>
      <c r="N334" s="1" t="s">
        <v>31</v>
      </c>
      <c r="O334" t="str">
        <f>TEXT(SalesDataset[[#This Row],[Order_Date]],"mmm")</f>
        <v>Jun</v>
      </c>
      <c r="P334" s="1" t="str">
        <f>TEXT(SalesDataset[[#This Row],[Order_Date]],"YYYY")</f>
        <v>2025</v>
      </c>
      <c r="Q334" s="1" t="str">
        <f>_xlfn.TEXTJOIN(" ",TRUE,SalesDataset[[#This Row],[First_Name]],SalesDataset[[#This Row],[Last_Name]])</f>
        <v>Laurie Montgomery</v>
      </c>
    </row>
    <row r="335" spans="1:17" x14ac:dyDescent="0.25">
      <c r="A335" s="1" t="s">
        <v>1405</v>
      </c>
      <c r="B335" s="2">
        <v>45875</v>
      </c>
      <c r="C335" s="1" t="s">
        <v>193</v>
      </c>
      <c r="D335" s="1" t="s">
        <v>1406</v>
      </c>
      <c r="E335" s="1" t="s">
        <v>1407</v>
      </c>
      <c r="F335" s="1" t="s">
        <v>1408</v>
      </c>
      <c r="G335" s="1" t="s">
        <v>44</v>
      </c>
      <c r="H335" s="1" t="s">
        <v>30</v>
      </c>
      <c r="I335" s="1" t="s">
        <v>21</v>
      </c>
      <c r="J335">
        <v>2</v>
      </c>
      <c r="K335">
        <v>3733</v>
      </c>
      <c r="L335">
        <v>7466</v>
      </c>
      <c r="M335" s="1" t="s">
        <v>38</v>
      </c>
      <c r="N335" s="1" t="s">
        <v>23</v>
      </c>
      <c r="O335" t="str">
        <f>TEXT(SalesDataset[[#This Row],[Order_Date]],"mmm")</f>
        <v>Aug</v>
      </c>
      <c r="P335" s="1" t="str">
        <f>TEXT(SalesDataset[[#This Row],[Order_Date]],"YYYY")</f>
        <v>2025</v>
      </c>
      <c r="Q335" s="1" t="str">
        <f>_xlfn.TEXTJOIN(" ",TRUE,SalesDataset[[#This Row],[First_Name]],SalesDataset[[#This Row],[Last_Name]])</f>
        <v>Tonya Mayer</v>
      </c>
    </row>
    <row r="336" spans="1:17" x14ac:dyDescent="0.25">
      <c r="A336" s="1" t="s">
        <v>1409</v>
      </c>
      <c r="B336" s="2">
        <v>45922</v>
      </c>
      <c r="C336" s="1" t="s">
        <v>1353</v>
      </c>
      <c r="D336" s="1" t="s">
        <v>250</v>
      </c>
      <c r="E336" s="1" t="s">
        <v>213</v>
      </c>
      <c r="F336" s="1" t="s">
        <v>1410</v>
      </c>
      <c r="G336" s="1" t="s">
        <v>44</v>
      </c>
      <c r="H336" s="1" t="s">
        <v>62</v>
      </c>
      <c r="I336" s="1" t="s">
        <v>21</v>
      </c>
      <c r="J336">
        <v>1</v>
      </c>
      <c r="K336">
        <v>61265</v>
      </c>
      <c r="L336">
        <v>61265</v>
      </c>
      <c r="M336" s="1" t="s">
        <v>63</v>
      </c>
      <c r="N336" s="1" t="s">
        <v>46</v>
      </c>
      <c r="O336" t="str">
        <f>TEXT(SalesDataset[[#This Row],[Order_Date]],"mmm")</f>
        <v>Sep</v>
      </c>
      <c r="P336" s="1" t="str">
        <f>TEXT(SalesDataset[[#This Row],[Order_Date]],"YYYY")</f>
        <v>2025</v>
      </c>
      <c r="Q336" s="1" t="str">
        <f>_xlfn.TEXTJOIN(" ",TRUE,SalesDataset[[#This Row],[First_Name]],SalesDataset[[#This Row],[Last_Name]])</f>
        <v>Katherine Farmer</v>
      </c>
    </row>
    <row r="337" spans="1:17" x14ac:dyDescent="0.25">
      <c r="A337" s="1" t="s">
        <v>1411</v>
      </c>
      <c r="B337" s="2">
        <v>46019</v>
      </c>
      <c r="C337" s="1" t="s">
        <v>1412</v>
      </c>
      <c r="D337" s="1" t="s">
        <v>334</v>
      </c>
      <c r="E337" s="1" t="s">
        <v>1148</v>
      </c>
      <c r="F337" s="1" t="s">
        <v>1413</v>
      </c>
      <c r="G337" s="1" t="s">
        <v>19</v>
      </c>
      <c r="H337" s="1" t="s">
        <v>37</v>
      </c>
      <c r="I337" s="1" t="s">
        <v>21</v>
      </c>
      <c r="J337">
        <v>1</v>
      </c>
      <c r="K337">
        <v>17383</v>
      </c>
      <c r="L337">
        <v>17383</v>
      </c>
      <c r="M337" s="1" t="s">
        <v>22</v>
      </c>
      <c r="N337" s="1" t="s">
        <v>23</v>
      </c>
      <c r="O337" t="str">
        <f>TEXT(SalesDataset[[#This Row],[Order_Date]],"mmm")</f>
        <v>Dec</v>
      </c>
      <c r="P337" s="1" t="str">
        <f>TEXT(SalesDataset[[#This Row],[Order_Date]],"YYYY")</f>
        <v>2025</v>
      </c>
      <c r="Q337" s="1" t="str">
        <f>_xlfn.TEXTJOIN(" ",TRUE,SalesDataset[[#This Row],[First_Name]],SalesDataset[[#This Row],[Last_Name]])</f>
        <v>Marissa Patterson</v>
      </c>
    </row>
    <row r="338" spans="1:17" x14ac:dyDescent="0.25">
      <c r="A338" s="1" t="s">
        <v>1414</v>
      </c>
      <c r="B338" s="2">
        <v>45934</v>
      </c>
      <c r="C338" s="1" t="s">
        <v>1415</v>
      </c>
      <c r="D338" s="1" t="s">
        <v>1416</v>
      </c>
      <c r="E338" s="1" t="s">
        <v>851</v>
      </c>
      <c r="F338" s="1" t="s">
        <v>1417</v>
      </c>
      <c r="G338" s="1" t="s">
        <v>102</v>
      </c>
      <c r="H338" s="1" t="s">
        <v>30</v>
      </c>
      <c r="I338" s="1" t="s">
        <v>21</v>
      </c>
      <c r="J338">
        <v>4</v>
      </c>
      <c r="K338">
        <v>63019</v>
      </c>
      <c r="L338">
        <v>252076</v>
      </c>
      <c r="M338" s="1" t="s">
        <v>38</v>
      </c>
      <c r="N338" s="1" t="s">
        <v>23</v>
      </c>
      <c r="O338" t="str">
        <f>TEXT(SalesDataset[[#This Row],[Order_Date]],"mmm")</f>
        <v>Oct</v>
      </c>
      <c r="P338" s="1" t="str">
        <f>TEXT(SalesDataset[[#This Row],[Order_Date]],"YYYY")</f>
        <v>2025</v>
      </c>
      <c r="Q338" s="1" t="str">
        <f>_xlfn.TEXTJOIN(" ",TRUE,SalesDataset[[#This Row],[First_Name]],SalesDataset[[#This Row],[Last_Name]])</f>
        <v>Miranda Adams</v>
      </c>
    </row>
    <row r="339" spans="1:17" x14ac:dyDescent="0.25">
      <c r="A339" s="1" t="s">
        <v>1418</v>
      </c>
      <c r="B339" s="2">
        <v>46124</v>
      </c>
      <c r="C339" s="1" t="s">
        <v>1419</v>
      </c>
      <c r="D339" s="1" t="s">
        <v>764</v>
      </c>
      <c r="E339" s="1" t="s">
        <v>1420</v>
      </c>
      <c r="F339" s="1" t="s">
        <v>1421</v>
      </c>
      <c r="G339" s="1" t="s">
        <v>29</v>
      </c>
      <c r="H339" s="1" t="s">
        <v>37</v>
      </c>
      <c r="I339" s="1" t="s">
        <v>21</v>
      </c>
      <c r="J339">
        <v>5</v>
      </c>
      <c r="K339">
        <v>22416</v>
      </c>
      <c r="L339">
        <v>112080</v>
      </c>
      <c r="M339" s="1" t="s">
        <v>63</v>
      </c>
      <c r="N339" s="1" t="s">
        <v>46</v>
      </c>
      <c r="O339" t="str">
        <f>TEXT(SalesDataset[[#This Row],[Order_Date]],"mmm")</f>
        <v>Apr</v>
      </c>
      <c r="P339" s="1" t="str">
        <f>TEXT(SalesDataset[[#This Row],[Order_Date]],"YYYY")</f>
        <v>2026</v>
      </c>
      <c r="Q339" s="1" t="str">
        <f>_xlfn.TEXTJOIN(" ",TRUE,SalesDataset[[#This Row],[First_Name]],SalesDataset[[#This Row],[Last_Name]])</f>
        <v>Susan Moreno</v>
      </c>
    </row>
    <row r="340" spans="1:17" x14ac:dyDescent="0.25">
      <c r="A340" s="1" t="s">
        <v>1422</v>
      </c>
      <c r="B340" s="2">
        <v>45965</v>
      </c>
      <c r="C340" s="1" t="s">
        <v>815</v>
      </c>
      <c r="D340" s="1" t="s">
        <v>66</v>
      </c>
      <c r="E340" s="1" t="s">
        <v>374</v>
      </c>
      <c r="F340" s="1" t="s">
        <v>1423</v>
      </c>
      <c r="G340" s="1" t="s">
        <v>102</v>
      </c>
      <c r="H340" s="1" t="s">
        <v>62</v>
      </c>
      <c r="I340" s="1" t="s">
        <v>21</v>
      </c>
      <c r="J340">
        <v>5</v>
      </c>
      <c r="K340">
        <v>60145</v>
      </c>
      <c r="L340">
        <v>300725</v>
      </c>
      <c r="M340" s="1" t="s">
        <v>86</v>
      </c>
      <c r="N340" s="1" t="s">
        <v>23</v>
      </c>
      <c r="O340" t="str">
        <f>TEXT(SalesDataset[[#This Row],[Order_Date]],"mmm")</f>
        <v>Nov</v>
      </c>
      <c r="P340" s="1" t="str">
        <f>TEXT(SalesDataset[[#This Row],[Order_Date]],"YYYY")</f>
        <v>2025</v>
      </c>
      <c r="Q340" s="1" t="str">
        <f>_xlfn.TEXTJOIN(" ",TRUE,SalesDataset[[#This Row],[First_Name]],SalesDataset[[#This Row],[Last_Name]])</f>
        <v>Angela Martinez</v>
      </c>
    </row>
    <row r="341" spans="1:17" x14ac:dyDescent="0.25">
      <c r="A341" s="1" t="s">
        <v>1424</v>
      </c>
      <c r="B341" s="2">
        <v>45833</v>
      </c>
      <c r="C341" s="1" t="s">
        <v>1425</v>
      </c>
      <c r="D341" s="1" t="s">
        <v>1180</v>
      </c>
      <c r="E341" s="1" t="s">
        <v>223</v>
      </c>
      <c r="F341" s="1" t="s">
        <v>1426</v>
      </c>
      <c r="G341" s="1" t="s">
        <v>44</v>
      </c>
      <c r="H341" s="1" t="s">
        <v>45</v>
      </c>
      <c r="I341" s="1" t="s">
        <v>21</v>
      </c>
      <c r="J341">
        <v>5</v>
      </c>
      <c r="K341">
        <v>14965</v>
      </c>
      <c r="L341">
        <v>74825</v>
      </c>
      <c r="M341" s="1" t="s">
        <v>86</v>
      </c>
      <c r="N341" s="1" t="s">
        <v>23</v>
      </c>
      <c r="O341" t="str">
        <f>TEXT(SalesDataset[[#This Row],[Order_Date]],"mmm")</f>
        <v>Jun</v>
      </c>
      <c r="P341" s="1" t="str">
        <f>TEXT(SalesDataset[[#This Row],[Order_Date]],"YYYY")</f>
        <v>2025</v>
      </c>
      <c r="Q341" s="1" t="str">
        <f>_xlfn.TEXTJOIN(" ",TRUE,SalesDataset[[#This Row],[First_Name]],SalesDataset[[#This Row],[Last_Name]])</f>
        <v>Deborah Morris</v>
      </c>
    </row>
    <row r="342" spans="1:17" x14ac:dyDescent="0.25">
      <c r="A342" s="1" t="s">
        <v>1427</v>
      </c>
      <c r="B342" s="2">
        <v>45814</v>
      </c>
      <c r="C342" s="1" t="s">
        <v>1428</v>
      </c>
      <c r="D342" s="1" t="s">
        <v>1429</v>
      </c>
      <c r="E342" s="1" t="s">
        <v>803</v>
      </c>
      <c r="F342" s="1" t="s">
        <v>1430</v>
      </c>
      <c r="G342" s="1" t="s">
        <v>29</v>
      </c>
      <c r="H342" s="1" t="s">
        <v>37</v>
      </c>
      <c r="I342" s="1" t="s">
        <v>21</v>
      </c>
      <c r="J342">
        <v>5</v>
      </c>
      <c r="K342">
        <v>41059</v>
      </c>
      <c r="L342">
        <v>205295</v>
      </c>
      <c r="M342" s="1" t="s">
        <v>86</v>
      </c>
      <c r="N342" s="1" t="s">
        <v>31</v>
      </c>
      <c r="O342" t="str">
        <f>TEXT(SalesDataset[[#This Row],[Order_Date]],"mmm")</f>
        <v>Jun</v>
      </c>
      <c r="P342" s="1" t="str">
        <f>TEXT(SalesDataset[[#This Row],[Order_Date]],"YYYY")</f>
        <v>2025</v>
      </c>
      <c r="Q342" s="1" t="str">
        <f>_xlfn.TEXTJOIN(" ",TRUE,SalesDataset[[#This Row],[First_Name]],SalesDataset[[#This Row],[Last_Name]])</f>
        <v>Jeffrey Perez</v>
      </c>
    </row>
    <row r="343" spans="1:17" x14ac:dyDescent="0.25">
      <c r="A343" s="1" t="s">
        <v>1431</v>
      </c>
      <c r="B343" s="2">
        <v>46010</v>
      </c>
      <c r="C343" s="1" t="s">
        <v>673</v>
      </c>
      <c r="D343" s="1" t="s">
        <v>89</v>
      </c>
      <c r="E343" s="1" t="s">
        <v>1432</v>
      </c>
      <c r="F343" s="1" t="s">
        <v>1433</v>
      </c>
      <c r="G343" s="1" t="s">
        <v>19</v>
      </c>
      <c r="H343" s="1" t="s">
        <v>80</v>
      </c>
      <c r="I343" s="1" t="s">
        <v>21</v>
      </c>
      <c r="J343">
        <v>5</v>
      </c>
      <c r="K343">
        <v>47892</v>
      </c>
      <c r="L343">
        <v>239460</v>
      </c>
      <c r="M343" s="1" t="s">
        <v>86</v>
      </c>
      <c r="N343" s="1" t="s">
        <v>23</v>
      </c>
      <c r="O343" t="str">
        <f>TEXT(SalesDataset[[#This Row],[Order_Date]],"mmm")</f>
        <v>Dec</v>
      </c>
      <c r="P343" s="1" t="str">
        <f>TEXT(SalesDataset[[#This Row],[Order_Date]],"YYYY")</f>
        <v>2025</v>
      </c>
      <c r="Q343" s="1" t="str">
        <f>_xlfn.TEXTJOIN(" ",TRUE,SalesDataset[[#This Row],[First_Name]],SalesDataset[[#This Row],[Last_Name]])</f>
        <v>Amy Austin</v>
      </c>
    </row>
    <row r="344" spans="1:17" x14ac:dyDescent="0.25">
      <c r="A344" s="1" t="s">
        <v>1434</v>
      </c>
      <c r="B344" s="2">
        <v>45832</v>
      </c>
      <c r="C344" s="1" t="s">
        <v>1435</v>
      </c>
      <c r="D344" s="1" t="s">
        <v>1436</v>
      </c>
      <c r="E344" s="1" t="s">
        <v>1437</v>
      </c>
      <c r="F344" s="1" t="s">
        <v>1438</v>
      </c>
      <c r="G344" s="1" t="s">
        <v>44</v>
      </c>
      <c r="H344" s="1" t="s">
        <v>30</v>
      </c>
      <c r="I344" s="1" t="s">
        <v>21</v>
      </c>
      <c r="J344">
        <v>1</v>
      </c>
      <c r="K344">
        <v>74171</v>
      </c>
      <c r="L344">
        <v>74171</v>
      </c>
      <c r="M344" s="1" t="s">
        <v>63</v>
      </c>
      <c r="N344" s="1" t="s">
        <v>46</v>
      </c>
      <c r="O344" t="str">
        <f>TEXT(SalesDataset[[#This Row],[Order_Date]],"mmm")</f>
        <v>Jun</v>
      </c>
      <c r="P344" s="1" t="str">
        <f>TEXT(SalesDataset[[#This Row],[Order_Date]],"YYYY")</f>
        <v>2025</v>
      </c>
      <c r="Q344" s="1" t="str">
        <f>_xlfn.TEXTJOIN(" ",TRUE,SalesDataset[[#This Row],[First_Name]],SalesDataset[[#This Row],[Last_Name]])</f>
        <v>Jill Orr</v>
      </c>
    </row>
    <row r="345" spans="1:17" x14ac:dyDescent="0.25">
      <c r="A345" s="1" t="s">
        <v>1439</v>
      </c>
      <c r="B345" s="2">
        <v>45840</v>
      </c>
      <c r="C345" s="1" t="s">
        <v>1440</v>
      </c>
      <c r="D345" s="1" t="s">
        <v>1441</v>
      </c>
      <c r="E345" s="1" t="s">
        <v>1442</v>
      </c>
      <c r="F345" s="1" t="s">
        <v>1443</v>
      </c>
      <c r="G345" s="1" t="s">
        <v>29</v>
      </c>
      <c r="H345" s="1" t="s">
        <v>30</v>
      </c>
      <c r="I345" s="1" t="s">
        <v>21</v>
      </c>
      <c r="J345">
        <v>4</v>
      </c>
      <c r="K345">
        <v>19308</v>
      </c>
      <c r="L345">
        <v>77232</v>
      </c>
      <c r="M345" s="1" t="s">
        <v>63</v>
      </c>
      <c r="N345" s="1" t="s">
        <v>31</v>
      </c>
      <c r="O345" t="str">
        <f>TEXT(SalesDataset[[#This Row],[Order_Date]],"mmm")</f>
        <v>Jul</v>
      </c>
      <c r="P345" s="1" t="str">
        <f>TEXT(SalesDataset[[#This Row],[Order_Date]],"YYYY")</f>
        <v>2025</v>
      </c>
      <c r="Q345" s="1" t="str">
        <f>_xlfn.TEXTJOIN(" ",TRUE,SalesDataset[[#This Row],[First_Name]],SalesDataset[[#This Row],[Last_Name]])</f>
        <v>Casey Massey</v>
      </c>
    </row>
    <row r="346" spans="1:17" x14ac:dyDescent="0.25">
      <c r="A346" s="1" t="s">
        <v>1444</v>
      </c>
      <c r="B346" s="2">
        <v>46140</v>
      </c>
      <c r="C346" s="1" t="s">
        <v>815</v>
      </c>
      <c r="D346" s="1" t="s">
        <v>487</v>
      </c>
      <c r="E346" s="1" t="s">
        <v>83</v>
      </c>
      <c r="F346" s="1" t="s">
        <v>1445</v>
      </c>
      <c r="G346" s="1" t="s">
        <v>29</v>
      </c>
      <c r="H346" s="1" t="s">
        <v>80</v>
      </c>
      <c r="I346" s="1" t="s">
        <v>21</v>
      </c>
      <c r="J346">
        <v>5</v>
      </c>
      <c r="K346">
        <v>41586</v>
      </c>
      <c r="L346">
        <v>207930</v>
      </c>
      <c r="M346" s="1" t="s">
        <v>38</v>
      </c>
      <c r="N346" s="1" t="s">
        <v>31</v>
      </c>
      <c r="O346" t="str">
        <f>TEXT(SalesDataset[[#This Row],[Order_Date]],"mmm")</f>
        <v>Apr</v>
      </c>
      <c r="P346" s="1" t="str">
        <f>TEXT(SalesDataset[[#This Row],[Order_Date]],"YYYY")</f>
        <v>2026</v>
      </c>
      <c r="Q346" s="1" t="str">
        <f>_xlfn.TEXTJOIN(" ",TRUE,SalesDataset[[#This Row],[First_Name]],SalesDataset[[#This Row],[Last_Name]])</f>
        <v>David Ashley</v>
      </c>
    </row>
    <row r="347" spans="1:17" x14ac:dyDescent="0.25">
      <c r="A347" s="1" t="s">
        <v>1446</v>
      </c>
      <c r="B347" s="2">
        <v>46099</v>
      </c>
      <c r="C347" s="1" t="s">
        <v>1447</v>
      </c>
      <c r="D347" s="1" t="s">
        <v>1448</v>
      </c>
      <c r="E347" s="1" t="s">
        <v>940</v>
      </c>
      <c r="F347" s="1" t="s">
        <v>1449</v>
      </c>
      <c r="G347" s="1" t="s">
        <v>44</v>
      </c>
      <c r="H347" s="1" t="s">
        <v>62</v>
      </c>
      <c r="I347" s="1" t="s">
        <v>21</v>
      </c>
      <c r="J347">
        <v>5</v>
      </c>
      <c r="K347">
        <v>37294</v>
      </c>
      <c r="L347">
        <v>186470</v>
      </c>
      <c r="M347" s="1" t="s">
        <v>74</v>
      </c>
      <c r="N347" s="1" t="s">
        <v>31</v>
      </c>
      <c r="O347" t="str">
        <f>TEXT(SalesDataset[[#This Row],[Order_Date]],"mmm")</f>
        <v>Mar</v>
      </c>
      <c r="P347" s="1" t="str">
        <f>TEXT(SalesDataset[[#This Row],[Order_Date]],"YYYY")</f>
        <v>2026</v>
      </c>
      <c r="Q347" s="1" t="str">
        <f>_xlfn.TEXTJOIN(" ",TRUE,SalesDataset[[#This Row],[First_Name]],SalesDataset[[#This Row],[Last_Name]])</f>
        <v>Jeremy Brown</v>
      </c>
    </row>
    <row r="348" spans="1:17" x14ac:dyDescent="0.25">
      <c r="A348" s="1" t="s">
        <v>1450</v>
      </c>
      <c r="B348" s="2">
        <v>45981</v>
      </c>
      <c r="C348" s="1" t="s">
        <v>1451</v>
      </c>
      <c r="D348" s="1" t="s">
        <v>799</v>
      </c>
      <c r="E348" s="1" t="s">
        <v>1452</v>
      </c>
      <c r="F348" s="1" t="s">
        <v>1453</v>
      </c>
      <c r="G348" s="1" t="s">
        <v>29</v>
      </c>
      <c r="H348" s="1" t="s">
        <v>80</v>
      </c>
      <c r="I348" s="1" t="s">
        <v>21</v>
      </c>
      <c r="J348">
        <v>1</v>
      </c>
      <c r="K348">
        <v>70322</v>
      </c>
      <c r="L348">
        <v>70322</v>
      </c>
      <c r="M348" s="1" t="s">
        <v>63</v>
      </c>
      <c r="N348" s="1" t="s">
        <v>31</v>
      </c>
      <c r="O348" t="str">
        <f>TEXT(SalesDataset[[#This Row],[Order_Date]],"mmm")</f>
        <v>Nov</v>
      </c>
      <c r="P348" s="1" t="str">
        <f>TEXT(SalesDataset[[#This Row],[Order_Date]],"YYYY")</f>
        <v>2025</v>
      </c>
      <c r="Q348" s="1" t="str">
        <f>_xlfn.TEXTJOIN(" ",TRUE,SalesDataset[[#This Row],[First_Name]],SalesDataset[[#This Row],[Last_Name]])</f>
        <v>Anna Lopez</v>
      </c>
    </row>
    <row r="349" spans="1:17" x14ac:dyDescent="0.25">
      <c r="A349" s="1" t="s">
        <v>1454</v>
      </c>
      <c r="B349" s="2">
        <v>46036</v>
      </c>
      <c r="C349" s="1" t="s">
        <v>700</v>
      </c>
      <c r="D349" s="1" t="s">
        <v>1345</v>
      </c>
      <c r="E349" s="1" t="s">
        <v>1455</v>
      </c>
      <c r="F349" s="1" t="s">
        <v>1456</v>
      </c>
      <c r="G349" s="1" t="s">
        <v>44</v>
      </c>
      <c r="H349" s="1" t="s">
        <v>30</v>
      </c>
      <c r="I349" s="1" t="s">
        <v>21</v>
      </c>
      <c r="J349">
        <v>3</v>
      </c>
      <c r="K349">
        <v>77858</v>
      </c>
      <c r="L349">
        <v>233574</v>
      </c>
      <c r="M349" s="1" t="s">
        <v>63</v>
      </c>
      <c r="N349" s="1" t="s">
        <v>31</v>
      </c>
      <c r="O349" t="str">
        <f>TEXT(SalesDataset[[#This Row],[Order_Date]],"mmm")</f>
        <v>Jan</v>
      </c>
      <c r="P349" s="1" t="str">
        <f>TEXT(SalesDataset[[#This Row],[Order_Date]],"YYYY")</f>
        <v>2026</v>
      </c>
      <c r="Q349" s="1" t="str">
        <f>_xlfn.TEXTJOIN(" ",TRUE,SalesDataset[[#This Row],[First_Name]],SalesDataset[[#This Row],[Last_Name]])</f>
        <v>Yolanda Grant</v>
      </c>
    </row>
    <row r="350" spans="1:17" x14ac:dyDescent="0.25">
      <c r="A350" s="1" t="s">
        <v>1457</v>
      </c>
      <c r="B350" s="2">
        <v>46074</v>
      </c>
      <c r="C350" s="1" t="s">
        <v>1458</v>
      </c>
      <c r="D350" s="1" t="s">
        <v>273</v>
      </c>
      <c r="E350" s="1" t="s">
        <v>920</v>
      </c>
      <c r="F350" s="1" t="s">
        <v>1459</v>
      </c>
      <c r="G350" s="1" t="s">
        <v>44</v>
      </c>
      <c r="H350" s="1" t="s">
        <v>20</v>
      </c>
      <c r="I350" s="1" t="s">
        <v>21</v>
      </c>
      <c r="J350">
        <v>1</v>
      </c>
      <c r="K350">
        <v>35613</v>
      </c>
      <c r="L350">
        <v>35613</v>
      </c>
      <c r="M350" s="1" t="s">
        <v>74</v>
      </c>
      <c r="N350" s="1" t="s">
        <v>46</v>
      </c>
      <c r="O350" t="str">
        <f>TEXT(SalesDataset[[#This Row],[Order_Date]],"mmm")</f>
        <v>Feb</v>
      </c>
      <c r="P350" s="1" t="str">
        <f>TEXT(SalesDataset[[#This Row],[Order_Date]],"YYYY")</f>
        <v>2026</v>
      </c>
      <c r="Q350" s="1" t="str">
        <f>_xlfn.TEXTJOIN(" ",TRUE,SalesDataset[[#This Row],[First_Name]],SalesDataset[[#This Row],[Last_Name]])</f>
        <v>Robert Bird</v>
      </c>
    </row>
    <row r="351" spans="1:17" x14ac:dyDescent="0.25">
      <c r="A351" s="1" t="s">
        <v>1460</v>
      </c>
      <c r="B351" s="2">
        <v>45984</v>
      </c>
      <c r="C351" s="1" t="s">
        <v>1461</v>
      </c>
      <c r="D351" s="1" t="s">
        <v>1330</v>
      </c>
      <c r="E351" s="1" t="s">
        <v>1346</v>
      </c>
      <c r="F351" s="1" t="s">
        <v>1462</v>
      </c>
      <c r="G351" s="1" t="s">
        <v>19</v>
      </c>
      <c r="H351" s="1" t="s">
        <v>37</v>
      </c>
      <c r="I351" s="1" t="s">
        <v>21</v>
      </c>
      <c r="J351">
        <v>5</v>
      </c>
      <c r="K351">
        <v>52137</v>
      </c>
      <c r="L351">
        <v>260685</v>
      </c>
      <c r="M351" s="1" t="s">
        <v>86</v>
      </c>
      <c r="N351" s="1" t="s">
        <v>31</v>
      </c>
      <c r="O351" t="str">
        <f>TEXT(SalesDataset[[#This Row],[Order_Date]],"mmm")</f>
        <v>Nov</v>
      </c>
      <c r="P351" s="1" t="str">
        <f>TEXT(SalesDataset[[#This Row],[Order_Date]],"YYYY")</f>
        <v>2025</v>
      </c>
      <c r="Q351" s="1" t="str">
        <f>_xlfn.TEXTJOIN(" ",TRUE,SalesDataset[[#This Row],[First_Name]],SalesDataset[[#This Row],[Last_Name]])</f>
        <v>Jacqueline Clark</v>
      </c>
    </row>
    <row r="352" spans="1:17" x14ac:dyDescent="0.25">
      <c r="A352" s="1" t="s">
        <v>1463</v>
      </c>
      <c r="B352" s="2">
        <v>46117</v>
      </c>
      <c r="C352" s="1" t="s">
        <v>1464</v>
      </c>
      <c r="D352" s="1" t="s">
        <v>582</v>
      </c>
      <c r="E352" s="1" t="s">
        <v>1465</v>
      </c>
      <c r="F352" s="1" t="s">
        <v>1466</v>
      </c>
      <c r="G352" s="1" t="s">
        <v>19</v>
      </c>
      <c r="H352" s="1" t="s">
        <v>45</v>
      </c>
      <c r="I352" s="1" t="s">
        <v>21</v>
      </c>
      <c r="J352">
        <v>1</v>
      </c>
      <c r="K352">
        <v>19401</v>
      </c>
      <c r="L352">
        <v>19401</v>
      </c>
      <c r="M352" s="1" t="s">
        <v>22</v>
      </c>
      <c r="N352" s="1" t="s">
        <v>23</v>
      </c>
      <c r="O352" t="str">
        <f>TEXT(SalesDataset[[#This Row],[Order_Date]],"mmm")</f>
        <v>Apr</v>
      </c>
      <c r="P352" s="1" t="str">
        <f>TEXT(SalesDataset[[#This Row],[Order_Date]],"YYYY")</f>
        <v>2026</v>
      </c>
      <c r="Q352" s="1" t="str">
        <f>_xlfn.TEXTJOIN(" ",TRUE,SalesDataset[[#This Row],[First_Name]],SalesDataset[[#This Row],[Last_Name]])</f>
        <v>Sarah Livingston</v>
      </c>
    </row>
    <row r="353" spans="1:17" x14ac:dyDescent="0.25">
      <c r="A353" s="1" t="s">
        <v>1467</v>
      </c>
      <c r="B353" s="2">
        <v>46125</v>
      </c>
      <c r="C353" s="1" t="s">
        <v>1468</v>
      </c>
      <c r="D353" s="1" t="s">
        <v>1469</v>
      </c>
      <c r="E353" s="1" t="s">
        <v>1470</v>
      </c>
      <c r="F353" s="1" t="s">
        <v>1471</v>
      </c>
      <c r="G353" s="1" t="s">
        <v>44</v>
      </c>
      <c r="H353" s="1" t="s">
        <v>80</v>
      </c>
      <c r="I353" s="1" t="s">
        <v>21</v>
      </c>
      <c r="J353">
        <v>3</v>
      </c>
      <c r="K353">
        <v>70460</v>
      </c>
      <c r="L353">
        <v>211380</v>
      </c>
      <c r="M353" s="1" t="s">
        <v>63</v>
      </c>
      <c r="N353" s="1" t="s">
        <v>46</v>
      </c>
      <c r="O353" t="str">
        <f>TEXT(SalesDataset[[#This Row],[Order_Date]],"mmm")</f>
        <v>Apr</v>
      </c>
      <c r="P353" s="1" t="str">
        <f>TEXT(SalesDataset[[#This Row],[Order_Date]],"YYYY")</f>
        <v>2026</v>
      </c>
      <c r="Q353" s="1" t="str">
        <f>_xlfn.TEXTJOIN(" ",TRUE,SalesDataset[[#This Row],[First_Name]],SalesDataset[[#This Row],[Last_Name]])</f>
        <v>Denise Kim</v>
      </c>
    </row>
    <row r="354" spans="1:17" x14ac:dyDescent="0.25">
      <c r="A354" s="1" t="s">
        <v>1472</v>
      </c>
      <c r="B354" s="2">
        <v>45926</v>
      </c>
      <c r="C354" s="1" t="s">
        <v>1473</v>
      </c>
      <c r="D354" s="1" t="s">
        <v>1474</v>
      </c>
      <c r="E354" s="1" t="s">
        <v>1475</v>
      </c>
      <c r="F354" s="1" t="s">
        <v>1476</v>
      </c>
      <c r="G354" s="1" t="s">
        <v>19</v>
      </c>
      <c r="H354" s="1" t="s">
        <v>92</v>
      </c>
      <c r="I354" s="1" t="s">
        <v>21</v>
      </c>
      <c r="J354">
        <v>1</v>
      </c>
      <c r="K354">
        <v>65826</v>
      </c>
      <c r="L354">
        <v>65826</v>
      </c>
      <c r="M354" s="1" t="s">
        <v>63</v>
      </c>
      <c r="N354" s="1" t="s">
        <v>46</v>
      </c>
      <c r="O354" t="str">
        <f>TEXT(SalesDataset[[#This Row],[Order_Date]],"mmm")</f>
        <v>Sep</v>
      </c>
      <c r="P354" s="1" t="str">
        <f>TEXT(SalesDataset[[#This Row],[Order_Date]],"YYYY")</f>
        <v>2025</v>
      </c>
      <c r="Q354" s="1" t="str">
        <f>_xlfn.TEXTJOIN(" ",TRUE,SalesDataset[[#This Row],[First_Name]],SalesDataset[[#This Row],[Last_Name]])</f>
        <v>Gina Rasmussen</v>
      </c>
    </row>
    <row r="355" spans="1:17" x14ac:dyDescent="0.25">
      <c r="A355" s="1" t="s">
        <v>1477</v>
      </c>
      <c r="B355" s="2">
        <v>46094</v>
      </c>
      <c r="C355" s="1" t="s">
        <v>1478</v>
      </c>
      <c r="D355" s="1" t="s">
        <v>1479</v>
      </c>
      <c r="E355" s="1" t="s">
        <v>803</v>
      </c>
      <c r="F355" s="1" t="s">
        <v>1480</v>
      </c>
      <c r="G355" s="1" t="s">
        <v>19</v>
      </c>
      <c r="H355" s="1" t="s">
        <v>62</v>
      </c>
      <c r="I355" s="1" t="s">
        <v>21</v>
      </c>
      <c r="J355">
        <v>5</v>
      </c>
      <c r="K355">
        <v>15528</v>
      </c>
      <c r="L355">
        <v>77640</v>
      </c>
      <c r="M355" s="1" t="s">
        <v>63</v>
      </c>
      <c r="N355" s="1" t="s">
        <v>31</v>
      </c>
      <c r="O355" t="str">
        <f>TEXT(SalesDataset[[#This Row],[Order_Date]],"mmm")</f>
        <v>Mar</v>
      </c>
      <c r="P355" s="1" t="str">
        <f>TEXT(SalesDataset[[#This Row],[Order_Date]],"YYYY")</f>
        <v>2026</v>
      </c>
      <c r="Q355" s="1" t="str">
        <f>_xlfn.TEXTJOIN(" ",TRUE,SalesDataset[[#This Row],[First_Name]],SalesDataset[[#This Row],[Last_Name]])</f>
        <v>Carolyn Perez</v>
      </c>
    </row>
    <row r="356" spans="1:17" x14ac:dyDescent="0.25">
      <c r="A356" s="1" t="s">
        <v>1481</v>
      </c>
      <c r="B356" s="2">
        <v>45781</v>
      </c>
      <c r="C356" s="1" t="s">
        <v>40</v>
      </c>
      <c r="D356" s="1" t="s">
        <v>66</v>
      </c>
      <c r="E356" s="1" t="s">
        <v>548</v>
      </c>
      <c r="F356" s="1" t="s">
        <v>1482</v>
      </c>
      <c r="G356" s="1" t="s">
        <v>19</v>
      </c>
      <c r="H356" s="1" t="s">
        <v>92</v>
      </c>
      <c r="I356" s="1" t="s">
        <v>21</v>
      </c>
      <c r="J356">
        <v>2</v>
      </c>
      <c r="K356">
        <v>68564</v>
      </c>
      <c r="L356">
        <v>137128</v>
      </c>
      <c r="M356" s="1" t="s">
        <v>86</v>
      </c>
      <c r="N356" s="1" t="s">
        <v>46</v>
      </c>
      <c r="O356" t="str">
        <f>TEXT(SalesDataset[[#This Row],[Order_Date]],"mmm")</f>
        <v>May</v>
      </c>
      <c r="P356" s="1" t="str">
        <f>TEXT(SalesDataset[[#This Row],[Order_Date]],"YYYY")</f>
        <v>2025</v>
      </c>
      <c r="Q356" s="1" t="str">
        <f>_xlfn.TEXTJOIN(" ",TRUE,SalesDataset[[#This Row],[First_Name]],SalesDataset[[#This Row],[Last_Name]])</f>
        <v>Angela James</v>
      </c>
    </row>
    <row r="357" spans="1:17" x14ac:dyDescent="0.25">
      <c r="A357" s="1" t="s">
        <v>1483</v>
      </c>
      <c r="B357" s="2">
        <v>46014</v>
      </c>
      <c r="C357" s="1" t="s">
        <v>1484</v>
      </c>
      <c r="D357" s="1" t="s">
        <v>1485</v>
      </c>
      <c r="E357" s="1" t="s">
        <v>493</v>
      </c>
      <c r="F357" s="1" t="s">
        <v>1486</v>
      </c>
      <c r="G357" s="1" t="s">
        <v>44</v>
      </c>
      <c r="H357" s="1" t="s">
        <v>20</v>
      </c>
      <c r="I357" s="1" t="s">
        <v>21</v>
      </c>
      <c r="J357">
        <v>1</v>
      </c>
      <c r="K357">
        <v>47604</v>
      </c>
      <c r="L357">
        <v>47604</v>
      </c>
      <c r="M357" s="1" t="s">
        <v>74</v>
      </c>
      <c r="N357" s="1" t="s">
        <v>46</v>
      </c>
      <c r="O357" t="str">
        <f>TEXT(SalesDataset[[#This Row],[Order_Date]],"mmm")</f>
        <v>Dec</v>
      </c>
      <c r="P357" s="1" t="str">
        <f>TEXT(SalesDataset[[#This Row],[Order_Date]],"YYYY")</f>
        <v>2025</v>
      </c>
      <c r="Q357" s="1" t="str">
        <f>_xlfn.TEXTJOIN(" ",TRUE,SalesDataset[[#This Row],[First_Name]],SalesDataset[[#This Row],[Last_Name]])</f>
        <v>Thomas Gallegos Jr.</v>
      </c>
    </row>
    <row r="358" spans="1:17" x14ac:dyDescent="0.25">
      <c r="A358" s="1" t="s">
        <v>1487</v>
      </c>
      <c r="B358" s="2">
        <v>45857</v>
      </c>
      <c r="C358" s="1" t="s">
        <v>1488</v>
      </c>
      <c r="D358" s="1" t="s">
        <v>1489</v>
      </c>
      <c r="E358" s="1" t="s">
        <v>1269</v>
      </c>
      <c r="F358" s="1" t="s">
        <v>1490</v>
      </c>
      <c r="G358" s="1" t="s">
        <v>44</v>
      </c>
      <c r="H358" s="1" t="s">
        <v>80</v>
      </c>
      <c r="I358" s="1" t="s">
        <v>21</v>
      </c>
      <c r="J358">
        <v>3</v>
      </c>
      <c r="K358">
        <v>3285</v>
      </c>
      <c r="L358">
        <v>9855</v>
      </c>
      <c r="M358" s="1" t="s">
        <v>22</v>
      </c>
      <c r="N358" s="1" t="s">
        <v>46</v>
      </c>
      <c r="O358" t="str">
        <f>TEXT(SalesDataset[[#This Row],[Order_Date]],"mmm")</f>
        <v>Jul</v>
      </c>
      <c r="P358" s="1" t="str">
        <f>TEXT(SalesDataset[[#This Row],[Order_Date]],"YYYY")</f>
        <v>2025</v>
      </c>
      <c r="Q358" s="1" t="str">
        <f>_xlfn.TEXTJOIN(" ",TRUE,SalesDataset[[#This Row],[First_Name]],SalesDataset[[#This Row],[Last_Name]])</f>
        <v>Alexandria Baker</v>
      </c>
    </row>
    <row r="359" spans="1:17" x14ac:dyDescent="0.25">
      <c r="A359" s="1" t="s">
        <v>1491</v>
      </c>
      <c r="B359" s="2">
        <v>45925</v>
      </c>
      <c r="C359" s="1" t="s">
        <v>530</v>
      </c>
      <c r="D359" s="1" t="s">
        <v>305</v>
      </c>
      <c r="E359" s="1" t="s">
        <v>1492</v>
      </c>
      <c r="F359" s="1" t="s">
        <v>1493</v>
      </c>
      <c r="G359" s="1" t="s">
        <v>19</v>
      </c>
      <c r="H359" s="1" t="s">
        <v>92</v>
      </c>
      <c r="I359" s="1" t="s">
        <v>21</v>
      </c>
      <c r="J359">
        <v>2</v>
      </c>
      <c r="K359">
        <v>18482</v>
      </c>
      <c r="L359">
        <v>36964</v>
      </c>
      <c r="M359" s="1" t="s">
        <v>22</v>
      </c>
      <c r="N359" s="1" t="s">
        <v>23</v>
      </c>
      <c r="O359" t="str">
        <f>TEXT(SalesDataset[[#This Row],[Order_Date]],"mmm")</f>
        <v>Sep</v>
      </c>
      <c r="P359" s="1" t="str">
        <f>TEXT(SalesDataset[[#This Row],[Order_Date]],"YYYY")</f>
        <v>2025</v>
      </c>
      <c r="Q359" s="1" t="str">
        <f>_xlfn.TEXTJOIN(" ",TRUE,SalesDataset[[#This Row],[First_Name]],SalesDataset[[#This Row],[Last_Name]])</f>
        <v>Christopher Mora</v>
      </c>
    </row>
    <row r="360" spans="1:17" x14ac:dyDescent="0.25">
      <c r="A360" s="1" t="s">
        <v>1494</v>
      </c>
      <c r="B360" s="2">
        <v>45900</v>
      </c>
      <c r="C360" s="1" t="s">
        <v>1495</v>
      </c>
      <c r="D360" s="1" t="s">
        <v>850</v>
      </c>
      <c r="E360" s="1" t="s">
        <v>1496</v>
      </c>
      <c r="F360" s="1" t="s">
        <v>1497</v>
      </c>
      <c r="G360" s="1" t="s">
        <v>44</v>
      </c>
      <c r="H360" s="1" t="s">
        <v>37</v>
      </c>
      <c r="I360" s="1" t="s">
        <v>21</v>
      </c>
      <c r="J360">
        <v>3</v>
      </c>
      <c r="K360">
        <v>1145</v>
      </c>
      <c r="L360">
        <v>3435</v>
      </c>
      <c r="M360" s="1" t="s">
        <v>86</v>
      </c>
      <c r="N360" s="1" t="s">
        <v>46</v>
      </c>
      <c r="O360" t="str">
        <f>TEXT(SalesDataset[[#This Row],[Order_Date]],"mmm")</f>
        <v>Aug</v>
      </c>
      <c r="P360" s="1" t="str">
        <f>TEXT(SalesDataset[[#This Row],[Order_Date]],"YYYY")</f>
        <v>2025</v>
      </c>
      <c r="Q360" s="1" t="str">
        <f>_xlfn.TEXTJOIN(" ",TRUE,SalesDataset[[#This Row],[First_Name]],SalesDataset[[#This Row],[Last_Name]])</f>
        <v>Emily Harding</v>
      </c>
    </row>
    <row r="361" spans="1:17" x14ac:dyDescent="0.25">
      <c r="A361" s="1" t="s">
        <v>1498</v>
      </c>
      <c r="B361" s="2">
        <v>46136</v>
      </c>
      <c r="C361" s="1" t="s">
        <v>997</v>
      </c>
      <c r="D361" s="1" t="s">
        <v>269</v>
      </c>
      <c r="E361" s="1" t="s">
        <v>1499</v>
      </c>
      <c r="F361" s="1" t="s">
        <v>1500</v>
      </c>
      <c r="G361" s="1" t="s">
        <v>29</v>
      </c>
      <c r="H361" s="1" t="s">
        <v>45</v>
      </c>
      <c r="I361" s="1" t="s">
        <v>21</v>
      </c>
      <c r="J361">
        <v>2</v>
      </c>
      <c r="K361">
        <v>24117</v>
      </c>
      <c r="L361">
        <v>48234</v>
      </c>
      <c r="M361" s="1" t="s">
        <v>63</v>
      </c>
      <c r="N361" s="1" t="s">
        <v>46</v>
      </c>
      <c r="O361" t="str">
        <f>TEXT(SalesDataset[[#This Row],[Order_Date]],"mmm")</f>
        <v>Apr</v>
      </c>
      <c r="P361" s="1" t="str">
        <f>TEXT(SalesDataset[[#This Row],[Order_Date]],"YYYY")</f>
        <v>2026</v>
      </c>
      <c r="Q361" s="1" t="str">
        <f>_xlfn.TEXTJOIN(" ",TRUE,SalesDataset[[#This Row],[First_Name]],SalesDataset[[#This Row],[Last_Name]])</f>
        <v>Megan Alexander</v>
      </c>
    </row>
    <row r="362" spans="1:17" x14ac:dyDescent="0.25">
      <c r="A362" s="1" t="s">
        <v>1501</v>
      </c>
      <c r="B362" s="2">
        <v>45838</v>
      </c>
      <c r="C362" s="1" t="s">
        <v>453</v>
      </c>
      <c r="D362" s="1" t="s">
        <v>1502</v>
      </c>
      <c r="E362" s="1" t="s">
        <v>1503</v>
      </c>
      <c r="F362" s="1" t="s">
        <v>1504</v>
      </c>
      <c r="G362" s="1" t="s">
        <v>102</v>
      </c>
      <c r="H362" s="1" t="s">
        <v>30</v>
      </c>
      <c r="I362" s="1" t="s">
        <v>21</v>
      </c>
      <c r="J362">
        <v>2</v>
      </c>
      <c r="K362">
        <v>8192</v>
      </c>
      <c r="L362">
        <v>16384</v>
      </c>
      <c r="M362" s="1" t="s">
        <v>22</v>
      </c>
      <c r="N362" s="1" t="s">
        <v>23</v>
      </c>
      <c r="O362" t="str">
        <f>TEXT(SalesDataset[[#This Row],[Order_Date]],"mmm")</f>
        <v>Jun</v>
      </c>
      <c r="P362" s="1" t="str">
        <f>TEXT(SalesDataset[[#This Row],[Order_Date]],"YYYY")</f>
        <v>2025</v>
      </c>
      <c r="Q362" s="1" t="str">
        <f>_xlfn.TEXTJOIN(" ",TRUE,SalesDataset[[#This Row],[First_Name]],SalesDataset[[#This Row],[Last_Name]])</f>
        <v>Anita Crawford</v>
      </c>
    </row>
    <row r="363" spans="1:17" x14ac:dyDescent="0.25">
      <c r="A363" s="1" t="s">
        <v>1505</v>
      </c>
      <c r="B363" s="2">
        <v>46080</v>
      </c>
      <c r="C363" s="1" t="s">
        <v>1506</v>
      </c>
      <c r="D363" s="1" t="s">
        <v>747</v>
      </c>
      <c r="E363" s="1" t="s">
        <v>441</v>
      </c>
      <c r="F363" s="1" t="s">
        <v>1507</v>
      </c>
      <c r="G363" s="1" t="s">
        <v>19</v>
      </c>
      <c r="H363" s="1" t="s">
        <v>92</v>
      </c>
      <c r="I363" s="1" t="s">
        <v>21</v>
      </c>
      <c r="J363">
        <v>2</v>
      </c>
      <c r="K363">
        <v>38082</v>
      </c>
      <c r="L363">
        <v>76164</v>
      </c>
      <c r="M363" s="1" t="s">
        <v>86</v>
      </c>
      <c r="N363" s="1" t="s">
        <v>31</v>
      </c>
      <c r="O363" t="str">
        <f>TEXT(SalesDataset[[#This Row],[Order_Date]],"mmm")</f>
        <v>Feb</v>
      </c>
      <c r="P363" s="1" t="str">
        <f>TEXT(SalesDataset[[#This Row],[Order_Date]],"YYYY")</f>
        <v>2026</v>
      </c>
      <c r="Q363" s="1" t="str">
        <f>_xlfn.TEXTJOIN(" ",TRUE,SalesDataset[[#This Row],[First_Name]],SalesDataset[[#This Row],[Last_Name]])</f>
        <v>Stephanie Ford</v>
      </c>
    </row>
    <row r="364" spans="1:17" x14ac:dyDescent="0.25">
      <c r="A364" s="1" t="s">
        <v>1508</v>
      </c>
      <c r="B364" s="2">
        <v>45793</v>
      </c>
      <c r="C364" s="1" t="s">
        <v>1509</v>
      </c>
      <c r="D364" s="1" t="s">
        <v>1510</v>
      </c>
      <c r="E364" s="1" t="s">
        <v>339</v>
      </c>
      <c r="F364" s="1" t="s">
        <v>1511</v>
      </c>
      <c r="G364" s="1" t="s">
        <v>102</v>
      </c>
      <c r="H364" s="1" t="s">
        <v>45</v>
      </c>
      <c r="I364" s="1" t="s">
        <v>21</v>
      </c>
      <c r="J364">
        <v>2</v>
      </c>
      <c r="K364">
        <v>66485</v>
      </c>
      <c r="L364">
        <v>132970</v>
      </c>
      <c r="M364" s="1" t="s">
        <v>63</v>
      </c>
      <c r="N364" s="1" t="s">
        <v>23</v>
      </c>
      <c r="O364" t="str">
        <f>TEXT(SalesDataset[[#This Row],[Order_Date]],"mmm")</f>
        <v>May</v>
      </c>
      <c r="P364" s="1" t="str">
        <f>TEXT(SalesDataset[[#This Row],[Order_Date]],"YYYY")</f>
        <v>2025</v>
      </c>
      <c r="Q364" s="1" t="str">
        <f>_xlfn.TEXTJOIN(" ",TRUE,SalesDataset[[#This Row],[First_Name]],SalesDataset[[#This Row],[Last_Name]])</f>
        <v>Rachel Sanchez</v>
      </c>
    </row>
    <row r="365" spans="1:17" x14ac:dyDescent="0.25">
      <c r="A365" s="1" t="s">
        <v>1512</v>
      </c>
      <c r="B365" s="2">
        <v>45822</v>
      </c>
      <c r="C365" s="1" t="s">
        <v>1513</v>
      </c>
      <c r="D365" s="1" t="s">
        <v>582</v>
      </c>
      <c r="E365" s="1" t="s">
        <v>1465</v>
      </c>
      <c r="F365" s="1" t="s">
        <v>1514</v>
      </c>
      <c r="G365" s="1" t="s">
        <v>19</v>
      </c>
      <c r="H365" s="1" t="s">
        <v>62</v>
      </c>
      <c r="I365" s="1" t="s">
        <v>21</v>
      </c>
      <c r="J365">
        <v>1</v>
      </c>
      <c r="K365">
        <v>69936</v>
      </c>
      <c r="L365">
        <v>69936</v>
      </c>
      <c r="M365" s="1" t="s">
        <v>22</v>
      </c>
      <c r="N365" s="1" t="s">
        <v>46</v>
      </c>
      <c r="O365" t="str">
        <f>TEXT(SalesDataset[[#This Row],[Order_Date]],"mmm")</f>
        <v>Jun</v>
      </c>
      <c r="P365" s="1" t="str">
        <f>TEXT(SalesDataset[[#This Row],[Order_Date]],"YYYY")</f>
        <v>2025</v>
      </c>
      <c r="Q365" s="1" t="str">
        <f>_xlfn.TEXTJOIN(" ",TRUE,SalesDataset[[#This Row],[First_Name]],SalesDataset[[#This Row],[Last_Name]])</f>
        <v>Sarah Livingston</v>
      </c>
    </row>
    <row r="366" spans="1:17" x14ac:dyDescent="0.25">
      <c r="A366" s="1" t="s">
        <v>1515</v>
      </c>
      <c r="B366" s="2">
        <v>45980</v>
      </c>
      <c r="C366" s="1" t="s">
        <v>1516</v>
      </c>
      <c r="D366" s="1" t="s">
        <v>487</v>
      </c>
      <c r="E366" s="1" t="s">
        <v>72</v>
      </c>
      <c r="F366" s="1" t="s">
        <v>1517</v>
      </c>
      <c r="G366" s="1" t="s">
        <v>19</v>
      </c>
      <c r="H366" s="1" t="s">
        <v>20</v>
      </c>
      <c r="I366" s="1" t="s">
        <v>21</v>
      </c>
      <c r="J366">
        <v>2</v>
      </c>
      <c r="K366">
        <v>74396</v>
      </c>
      <c r="L366">
        <v>148792</v>
      </c>
      <c r="M366" s="1" t="s">
        <v>22</v>
      </c>
      <c r="N366" s="1" t="s">
        <v>31</v>
      </c>
      <c r="O366" t="str">
        <f>TEXT(SalesDataset[[#This Row],[Order_Date]],"mmm")</f>
        <v>Nov</v>
      </c>
      <c r="P366" s="1" t="str">
        <f>TEXT(SalesDataset[[#This Row],[Order_Date]],"YYYY")</f>
        <v>2025</v>
      </c>
      <c r="Q366" s="1" t="str">
        <f>_xlfn.TEXTJOIN(" ",TRUE,SalesDataset[[#This Row],[First_Name]],SalesDataset[[#This Row],[Last_Name]])</f>
        <v>David Evans</v>
      </c>
    </row>
    <row r="367" spans="1:17" x14ac:dyDescent="0.25">
      <c r="A367" s="1" t="s">
        <v>1518</v>
      </c>
      <c r="B367" s="2">
        <v>46007</v>
      </c>
      <c r="C367" s="1" t="s">
        <v>1519</v>
      </c>
      <c r="D367" s="1" t="s">
        <v>66</v>
      </c>
      <c r="E367" s="1" t="s">
        <v>1520</v>
      </c>
      <c r="F367" s="1" t="s">
        <v>1521</v>
      </c>
      <c r="G367" s="1" t="s">
        <v>44</v>
      </c>
      <c r="H367" s="1" t="s">
        <v>92</v>
      </c>
      <c r="I367" s="1" t="s">
        <v>21</v>
      </c>
      <c r="J367">
        <v>4</v>
      </c>
      <c r="K367">
        <v>40073</v>
      </c>
      <c r="L367">
        <v>160292</v>
      </c>
      <c r="M367" s="1" t="s">
        <v>22</v>
      </c>
      <c r="N367" s="1" t="s">
        <v>46</v>
      </c>
      <c r="O367" t="str">
        <f>TEXT(SalesDataset[[#This Row],[Order_Date]],"mmm")</f>
        <v>Dec</v>
      </c>
      <c r="P367" s="1" t="str">
        <f>TEXT(SalesDataset[[#This Row],[Order_Date]],"YYYY")</f>
        <v>2025</v>
      </c>
      <c r="Q367" s="1" t="str">
        <f>_xlfn.TEXTJOIN(" ",TRUE,SalesDataset[[#This Row],[First_Name]],SalesDataset[[#This Row],[Last_Name]])</f>
        <v>Angela Fields</v>
      </c>
    </row>
    <row r="368" spans="1:17" x14ac:dyDescent="0.25">
      <c r="A368" s="1" t="s">
        <v>1522</v>
      </c>
      <c r="B368" s="2">
        <v>45994</v>
      </c>
      <c r="C368" s="1" t="s">
        <v>1523</v>
      </c>
      <c r="D368" s="1" t="s">
        <v>1524</v>
      </c>
      <c r="E368" s="1" t="s">
        <v>1525</v>
      </c>
      <c r="F368" s="1" t="s">
        <v>1526</v>
      </c>
      <c r="G368" s="1" t="s">
        <v>102</v>
      </c>
      <c r="H368" s="1" t="s">
        <v>30</v>
      </c>
      <c r="I368" s="1" t="s">
        <v>21</v>
      </c>
      <c r="J368">
        <v>3</v>
      </c>
      <c r="K368">
        <v>73529</v>
      </c>
      <c r="L368">
        <v>220587</v>
      </c>
      <c r="M368" s="1" t="s">
        <v>22</v>
      </c>
      <c r="N368" s="1" t="s">
        <v>23</v>
      </c>
      <c r="O368" t="str">
        <f>TEXT(SalesDataset[[#This Row],[Order_Date]],"mmm")</f>
        <v>Dec</v>
      </c>
      <c r="P368" s="1" t="str">
        <f>TEXT(SalesDataset[[#This Row],[Order_Date]],"YYYY")</f>
        <v>2025</v>
      </c>
      <c r="Q368" s="1" t="str">
        <f>_xlfn.TEXTJOIN(" ",TRUE,SalesDataset[[#This Row],[First_Name]],SalesDataset[[#This Row],[Last_Name]])</f>
        <v>Connor Nguyen</v>
      </c>
    </row>
    <row r="369" spans="1:17" x14ac:dyDescent="0.25">
      <c r="A369" s="1" t="s">
        <v>1527</v>
      </c>
      <c r="B369" s="2">
        <v>46065</v>
      </c>
      <c r="C369" s="1" t="s">
        <v>1528</v>
      </c>
      <c r="D369" s="1" t="s">
        <v>1529</v>
      </c>
      <c r="E369" s="1" t="s">
        <v>1530</v>
      </c>
      <c r="F369" s="1" t="s">
        <v>1531</v>
      </c>
      <c r="G369" s="1" t="s">
        <v>102</v>
      </c>
      <c r="H369" s="1" t="s">
        <v>45</v>
      </c>
      <c r="I369" s="1" t="s">
        <v>21</v>
      </c>
      <c r="J369">
        <v>1</v>
      </c>
      <c r="K369">
        <v>16687</v>
      </c>
      <c r="L369">
        <v>16687</v>
      </c>
      <c r="M369" s="1" t="s">
        <v>63</v>
      </c>
      <c r="N369" s="1" t="s">
        <v>31</v>
      </c>
      <c r="O369" t="str">
        <f>TEXT(SalesDataset[[#This Row],[Order_Date]],"mmm")</f>
        <v>Feb</v>
      </c>
      <c r="P369" s="1" t="str">
        <f>TEXT(SalesDataset[[#This Row],[Order_Date]],"YYYY")</f>
        <v>2026</v>
      </c>
      <c r="Q369" s="1" t="str">
        <f>_xlfn.TEXTJOIN(" ",TRUE,SalesDataset[[#This Row],[First_Name]],SalesDataset[[#This Row],[Last_Name]])</f>
        <v>Melinda Richardson</v>
      </c>
    </row>
    <row r="370" spans="1:17" x14ac:dyDescent="0.25">
      <c r="A370" s="1" t="s">
        <v>1532</v>
      </c>
      <c r="B370" s="2">
        <v>46130</v>
      </c>
      <c r="C370" s="1" t="s">
        <v>1533</v>
      </c>
      <c r="D370" s="1" t="s">
        <v>752</v>
      </c>
      <c r="E370" s="1" t="s">
        <v>987</v>
      </c>
      <c r="F370" s="1" t="s">
        <v>1534</v>
      </c>
      <c r="G370" s="1" t="s">
        <v>44</v>
      </c>
      <c r="H370" s="1" t="s">
        <v>30</v>
      </c>
      <c r="I370" s="1" t="s">
        <v>21</v>
      </c>
      <c r="J370">
        <v>2</v>
      </c>
      <c r="K370">
        <v>9792</v>
      </c>
      <c r="L370">
        <v>19584</v>
      </c>
      <c r="M370" s="1" t="s">
        <v>38</v>
      </c>
      <c r="N370" s="1" t="s">
        <v>31</v>
      </c>
      <c r="O370" t="str">
        <f>TEXT(SalesDataset[[#This Row],[Order_Date]],"mmm")</f>
        <v>Apr</v>
      </c>
      <c r="P370" s="1" t="str">
        <f>TEXT(SalesDataset[[#This Row],[Order_Date]],"YYYY")</f>
        <v>2026</v>
      </c>
      <c r="Q370" s="1" t="str">
        <f>_xlfn.TEXTJOIN(" ",TRUE,SalesDataset[[#This Row],[First_Name]],SalesDataset[[#This Row],[Last_Name]])</f>
        <v>Daniel Hughes</v>
      </c>
    </row>
    <row r="371" spans="1:17" x14ac:dyDescent="0.25">
      <c r="A371" s="1" t="s">
        <v>1535</v>
      </c>
      <c r="B371" s="2">
        <v>45876</v>
      </c>
      <c r="C371" s="1" t="s">
        <v>1536</v>
      </c>
      <c r="D371" s="1" t="s">
        <v>281</v>
      </c>
      <c r="E371" s="1" t="s">
        <v>1537</v>
      </c>
      <c r="F371" s="1" t="s">
        <v>1538</v>
      </c>
      <c r="G371" s="1" t="s">
        <v>29</v>
      </c>
      <c r="H371" s="1" t="s">
        <v>45</v>
      </c>
      <c r="I371" s="1" t="s">
        <v>21</v>
      </c>
      <c r="J371">
        <v>2</v>
      </c>
      <c r="K371">
        <v>49886</v>
      </c>
      <c r="L371">
        <v>99772</v>
      </c>
      <c r="M371" s="1" t="s">
        <v>38</v>
      </c>
      <c r="N371" s="1" t="s">
        <v>31</v>
      </c>
      <c r="O371" t="str">
        <f>TEXT(SalesDataset[[#This Row],[Order_Date]],"mmm")</f>
        <v>Aug</v>
      </c>
      <c r="P371" s="1" t="str">
        <f>TEXT(SalesDataset[[#This Row],[Order_Date]],"YYYY")</f>
        <v>2025</v>
      </c>
      <c r="Q371" s="1" t="str">
        <f>_xlfn.TEXTJOIN(" ",TRUE,SalesDataset[[#This Row],[First_Name]],SalesDataset[[#This Row],[Last_Name]])</f>
        <v>Thomas Wilkinson</v>
      </c>
    </row>
    <row r="372" spans="1:17" x14ac:dyDescent="0.25">
      <c r="A372" s="1" t="s">
        <v>1539</v>
      </c>
      <c r="B372" s="2">
        <v>45887</v>
      </c>
      <c r="C372" s="1" t="s">
        <v>1540</v>
      </c>
      <c r="D372" s="1" t="s">
        <v>1220</v>
      </c>
      <c r="E372" s="1" t="s">
        <v>1541</v>
      </c>
      <c r="F372" s="1" t="s">
        <v>1542</v>
      </c>
      <c r="G372" s="1" t="s">
        <v>102</v>
      </c>
      <c r="H372" s="1" t="s">
        <v>37</v>
      </c>
      <c r="I372" s="1" t="s">
        <v>21</v>
      </c>
      <c r="J372">
        <v>4</v>
      </c>
      <c r="K372">
        <v>64929</v>
      </c>
      <c r="L372">
        <v>259716</v>
      </c>
      <c r="M372" s="1" t="s">
        <v>86</v>
      </c>
      <c r="N372" s="1" t="s">
        <v>46</v>
      </c>
      <c r="O372" t="str">
        <f>TEXT(SalesDataset[[#This Row],[Order_Date]],"mmm")</f>
        <v>Aug</v>
      </c>
      <c r="P372" s="1" t="str">
        <f>TEXT(SalesDataset[[#This Row],[Order_Date]],"YYYY")</f>
        <v>2025</v>
      </c>
      <c r="Q372" s="1" t="str">
        <f>_xlfn.TEXTJOIN(" ",TRUE,SalesDataset[[#This Row],[First_Name]],SalesDataset[[#This Row],[Last_Name]])</f>
        <v>Ryan Soto</v>
      </c>
    </row>
    <row r="373" spans="1:17" x14ac:dyDescent="0.25">
      <c r="A373" s="1" t="s">
        <v>1543</v>
      </c>
      <c r="B373" s="2">
        <v>46019</v>
      </c>
      <c r="C373" s="1" t="s">
        <v>1118</v>
      </c>
      <c r="D373" s="1" t="s">
        <v>1544</v>
      </c>
      <c r="E373" s="1" t="s">
        <v>1545</v>
      </c>
      <c r="F373" s="1" t="s">
        <v>1546</v>
      </c>
      <c r="G373" s="1" t="s">
        <v>44</v>
      </c>
      <c r="H373" s="1" t="s">
        <v>37</v>
      </c>
      <c r="I373" s="1" t="s">
        <v>21</v>
      </c>
      <c r="J373">
        <v>4</v>
      </c>
      <c r="K373">
        <v>8040</v>
      </c>
      <c r="L373">
        <v>32160</v>
      </c>
      <c r="M373" s="1" t="s">
        <v>22</v>
      </c>
      <c r="N373" s="1" t="s">
        <v>46</v>
      </c>
      <c r="O373" t="str">
        <f>TEXT(SalesDataset[[#This Row],[Order_Date]],"mmm")</f>
        <v>Dec</v>
      </c>
      <c r="P373" s="1" t="str">
        <f>TEXT(SalesDataset[[#This Row],[Order_Date]],"YYYY")</f>
        <v>2025</v>
      </c>
      <c r="Q373" s="1" t="str">
        <f>_xlfn.TEXTJOIN(" ",TRUE,SalesDataset[[#This Row],[First_Name]],SalesDataset[[#This Row],[Last_Name]])</f>
        <v>Curtis Callahan</v>
      </c>
    </row>
    <row r="374" spans="1:17" x14ac:dyDescent="0.25">
      <c r="A374" s="1" t="s">
        <v>1547</v>
      </c>
      <c r="B374" s="2">
        <v>45800</v>
      </c>
      <c r="C374" s="1" t="s">
        <v>1548</v>
      </c>
      <c r="D374" s="1" t="s">
        <v>145</v>
      </c>
      <c r="E374" s="1" t="s">
        <v>616</v>
      </c>
      <c r="F374" s="1" t="s">
        <v>1549</v>
      </c>
      <c r="G374" s="1" t="s">
        <v>19</v>
      </c>
      <c r="H374" s="1" t="s">
        <v>62</v>
      </c>
      <c r="I374" s="1" t="s">
        <v>21</v>
      </c>
      <c r="J374">
        <v>1</v>
      </c>
      <c r="K374">
        <v>21166</v>
      </c>
      <c r="L374">
        <v>21166</v>
      </c>
      <c r="M374" s="1" t="s">
        <v>74</v>
      </c>
      <c r="N374" s="1" t="s">
        <v>31</v>
      </c>
      <c r="O374" t="str">
        <f>TEXT(SalesDataset[[#This Row],[Order_Date]],"mmm")</f>
        <v>May</v>
      </c>
      <c r="P374" s="1" t="str">
        <f>TEXT(SalesDataset[[#This Row],[Order_Date]],"YYYY")</f>
        <v>2025</v>
      </c>
      <c r="Q374" s="1" t="str">
        <f>_xlfn.TEXTJOIN(" ",TRUE,SalesDataset[[#This Row],[First_Name]],SalesDataset[[#This Row],[Last_Name]])</f>
        <v>Lisa Keller</v>
      </c>
    </row>
    <row r="375" spans="1:17" x14ac:dyDescent="0.25">
      <c r="A375" s="1" t="s">
        <v>1550</v>
      </c>
      <c r="B375" s="2">
        <v>45906</v>
      </c>
      <c r="C375" s="1" t="s">
        <v>1551</v>
      </c>
      <c r="D375" s="1" t="s">
        <v>531</v>
      </c>
      <c r="E375" s="1" t="s">
        <v>1552</v>
      </c>
      <c r="F375" s="1" t="s">
        <v>1553</v>
      </c>
      <c r="G375" s="1" t="s">
        <v>102</v>
      </c>
      <c r="H375" s="1" t="s">
        <v>80</v>
      </c>
      <c r="I375" s="1" t="s">
        <v>21</v>
      </c>
      <c r="J375">
        <v>2</v>
      </c>
      <c r="K375">
        <v>49583</v>
      </c>
      <c r="L375">
        <v>99166</v>
      </c>
      <c r="M375" s="1" t="s">
        <v>63</v>
      </c>
      <c r="N375" s="1" t="s">
        <v>23</v>
      </c>
      <c r="O375" t="str">
        <f>TEXT(SalesDataset[[#This Row],[Order_Date]],"mmm")</f>
        <v>Sep</v>
      </c>
      <c r="P375" s="1" t="str">
        <f>TEXT(SalesDataset[[#This Row],[Order_Date]],"YYYY")</f>
        <v>2025</v>
      </c>
      <c r="Q375" s="1" t="str">
        <f>_xlfn.TEXTJOIN(" ",TRUE,SalesDataset[[#This Row],[First_Name]],SalesDataset[[#This Row],[Last_Name]])</f>
        <v>Chelsea Bender</v>
      </c>
    </row>
    <row r="376" spans="1:17" x14ac:dyDescent="0.25">
      <c r="A376" s="1" t="s">
        <v>1554</v>
      </c>
      <c r="B376" s="2">
        <v>46035</v>
      </c>
      <c r="C376" s="1" t="s">
        <v>1555</v>
      </c>
      <c r="D376" s="1" t="s">
        <v>383</v>
      </c>
      <c r="E376" s="1" t="s">
        <v>478</v>
      </c>
      <c r="F376" s="1" t="s">
        <v>1556</v>
      </c>
      <c r="G376" s="1" t="s">
        <v>19</v>
      </c>
      <c r="H376" s="1" t="s">
        <v>80</v>
      </c>
      <c r="I376" s="1" t="s">
        <v>21</v>
      </c>
      <c r="J376">
        <v>3</v>
      </c>
      <c r="K376">
        <v>17155</v>
      </c>
      <c r="L376">
        <v>51465</v>
      </c>
      <c r="M376" s="1" t="s">
        <v>63</v>
      </c>
      <c r="N376" s="1" t="s">
        <v>31</v>
      </c>
      <c r="O376" t="str">
        <f>TEXT(SalesDataset[[#This Row],[Order_Date]],"mmm")</f>
        <v>Jan</v>
      </c>
      <c r="P376" s="1" t="str">
        <f>TEXT(SalesDataset[[#This Row],[Order_Date]],"YYYY")</f>
        <v>2026</v>
      </c>
      <c r="Q376" s="1" t="str">
        <f>_xlfn.TEXTJOIN(" ",TRUE,SalesDataset[[#This Row],[First_Name]],SalesDataset[[#This Row],[Last_Name]])</f>
        <v>Melissa Dillon</v>
      </c>
    </row>
    <row r="377" spans="1:17" x14ac:dyDescent="0.25">
      <c r="A377" s="1" t="s">
        <v>1557</v>
      </c>
      <c r="B377" s="2">
        <v>45892</v>
      </c>
      <c r="C377" s="1" t="s">
        <v>1558</v>
      </c>
      <c r="D377" s="1" t="s">
        <v>850</v>
      </c>
      <c r="E377" s="1" t="s">
        <v>121</v>
      </c>
      <c r="F377" s="1" t="s">
        <v>1559</v>
      </c>
      <c r="G377" s="1" t="s">
        <v>29</v>
      </c>
      <c r="H377" s="1" t="s">
        <v>92</v>
      </c>
      <c r="I377" s="1" t="s">
        <v>21</v>
      </c>
      <c r="J377">
        <v>1</v>
      </c>
      <c r="K377">
        <v>8393</v>
      </c>
      <c r="L377">
        <v>8393</v>
      </c>
      <c r="M377" s="1" t="s">
        <v>22</v>
      </c>
      <c r="N377" s="1" t="s">
        <v>23</v>
      </c>
      <c r="O377" t="str">
        <f>TEXT(SalesDataset[[#This Row],[Order_Date]],"mmm")</f>
        <v>Aug</v>
      </c>
      <c r="P377" s="1" t="str">
        <f>TEXT(SalesDataset[[#This Row],[Order_Date]],"YYYY")</f>
        <v>2025</v>
      </c>
      <c r="Q377" s="1" t="str">
        <f>_xlfn.TEXTJOIN(" ",TRUE,SalesDataset[[#This Row],[First_Name]],SalesDataset[[#This Row],[Last_Name]])</f>
        <v>Emily Davis</v>
      </c>
    </row>
    <row r="378" spans="1:17" x14ac:dyDescent="0.25">
      <c r="A378" s="1" t="s">
        <v>1560</v>
      </c>
      <c r="B378" s="2">
        <v>45944</v>
      </c>
      <c r="C378" s="1" t="s">
        <v>1561</v>
      </c>
      <c r="D378" s="1" t="s">
        <v>89</v>
      </c>
      <c r="E378" s="1" t="s">
        <v>1173</v>
      </c>
      <c r="F378" s="1" t="s">
        <v>1562</v>
      </c>
      <c r="G378" s="1" t="s">
        <v>102</v>
      </c>
      <c r="H378" s="1" t="s">
        <v>62</v>
      </c>
      <c r="I378" s="1" t="s">
        <v>21</v>
      </c>
      <c r="J378">
        <v>4</v>
      </c>
      <c r="K378">
        <v>43098</v>
      </c>
      <c r="L378">
        <v>172392</v>
      </c>
      <c r="M378" s="1" t="s">
        <v>63</v>
      </c>
      <c r="N378" s="1" t="s">
        <v>31</v>
      </c>
      <c r="O378" t="str">
        <f>TEXT(SalesDataset[[#This Row],[Order_Date]],"mmm")</f>
        <v>Oct</v>
      </c>
      <c r="P378" s="1" t="str">
        <f>TEXT(SalesDataset[[#This Row],[Order_Date]],"YYYY")</f>
        <v>2025</v>
      </c>
      <c r="Q378" s="1" t="str">
        <f>_xlfn.TEXTJOIN(" ",TRUE,SalesDataset[[#This Row],[First_Name]],SalesDataset[[#This Row],[Last_Name]])</f>
        <v>Amy Peters</v>
      </c>
    </row>
    <row r="379" spans="1:17" x14ac:dyDescent="0.25">
      <c r="A379" s="1" t="s">
        <v>1563</v>
      </c>
      <c r="B379" s="2">
        <v>45883</v>
      </c>
      <c r="C379" s="1" t="s">
        <v>1564</v>
      </c>
      <c r="D379" s="1" t="s">
        <v>1565</v>
      </c>
      <c r="E379" s="1" t="s">
        <v>1566</v>
      </c>
      <c r="F379" s="1" t="s">
        <v>1567</v>
      </c>
      <c r="G379" s="1" t="s">
        <v>102</v>
      </c>
      <c r="H379" s="1" t="s">
        <v>45</v>
      </c>
      <c r="I379" s="1" t="s">
        <v>21</v>
      </c>
      <c r="J379">
        <v>4</v>
      </c>
      <c r="K379">
        <v>12574</v>
      </c>
      <c r="L379">
        <v>50296</v>
      </c>
      <c r="M379" s="1" t="s">
        <v>63</v>
      </c>
      <c r="N379" s="1" t="s">
        <v>46</v>
      </c>
      <c r="O379" t="str">
        <f>TEXT(SalesDataset[[#This Row],[Order_Date]],"mmm")</f>
        <v>Aug</v>
      </c>
      <c r="P379" s="1" t="str">
        <f>TEXT(SalesDataset[[#This Row],[Order_Date]],"YYYY")</f>
        <v>2025</v>
      </c>
      <c r="Q379" s="1" t="str">
        <f>_xlfn.TEXTJOIN(" ",TRUE,SalesDataset[[#This Row],[First_Name]],SalesDataset[[#This Row],[Last_Name]])</f>
        <v>Antonio Long</v>
      </c>
    </row>
    <row r="380" spans="1:17" x14ac:dyDescent="0.25">
      <c r="A380" s="1" t="s">
        <v>1568</v>
      </c>
      <c r="B380" s="2">
        <v>46086</v>
      </c>
      <c r="C380" s="1" t="s">
        <v>1122</v>
      </c>
      <c r="D380" s="1" t="s">
        <v>629</v>
      </c>
      <c r="E380" s="1" t="s">
        <v>416</v>
      </c>
      <c r="F380" s="1" t="s">
        <v>1569</v>
      </c>
      <c r="G380" s="1" t="s">
        <v>19</v>
      </c>
      <c r="H380" s="1" t="s">
        <v>80</v>
      </c>
      <c r="I380" s="1" t="s">
        <v>21</v>
      </c>
      <c r="J380">
        <v>4</v>
      </c>
      <c r="K380">
        <v>13482</v>
      </c>
      <c r="L380">
        <v>53928</v>
      </c>
      <c r="M380" s="1" t="s">
        <v>63</v>
      </c>
      <c r="N380" s="1" t="s">
        <v>31</v>
      </c>
      <c r="O380" t="str">
        <f>TEXT(SalesDataset[[#This Row],[Order_Date]],"mmm")</f>
        <v>Mar</v>
      </c>
      <c r="P380" s="1" t="str">
        <f>TEXT(SalesDataset[[#This Row],[Order_Date]],"YYYY")</f>
        <v>2026</v>
      </c>
      <c r="Q380" s="1" t="str">
        <f>_xlfn.TEXTJOIN(" ",TRUE,SalesDataset[[#This Row],[First_Name]],SalesDataset[[#This Row],[Last_Name]])</f>
        <v>Samantha Garcia</v>
      </c>
    </row>
    <row r="381" spans="1:17" x14ac:dyDescent="0.25">
      <c r="A381" s="1" t="s">
        <v>1570</v>
      </c>
      <c r="B381" s="2">
        <v>45899</v>
      </c>
      <c r="C381" s="1" t="s">
        <v>300</v>
      </c>
      <c r="D381" s="1" t="s">
        <v>212</v>
      </c>
      <c r="E381" s="1" t="s">
        <v>170</v>
      </c>
      <c r="F381" s="1" t="s">
        <v>1243</v>
      </c>
      <c r="G381" s="1" t="s">
        <v>44</v>
      </c>
      <c r="H381" s="1" t="s">
        <v>20</v>
      </c>
      <c r="I381" s="1" t="s">
        <v>21</v>
      </c>
      <c r="J381">
        <v>4</v>
      </c>
      <c r="K381">
        <v>71808</v>
      </c>
      <c r="L381">
        <v>287232</v>
      </c>
      <c r="M381" s="1" t="s">
        <v>22</v>
      </c>
      <c r="N381" s="1" t="s">
        <v>46</v>
      </c>
      <c r="O381" t="str">
        <f>TEXT(SalesDataset[[#This Row],[Order_Date]],"mmm")</f>
        <v>Aug</v>
      </c>
      <c r="P381" s="1" t="str">
        <f>TEXT(SalesDataset[[#This Row],[Order_Date]],"YYYY")</f>
        <v>2025</v>
      </c>
      <c r="Q381" s="1" t="str">
        <f>_xlfn.TEXTJOIN(" ",TRUE,SalesDataset[[#This Row],[First_Name]],SalesDataset[[#This Row],[Last_Name]])</f>
        <v>Tiffany Morgan</v>
      </c>
    </row>
    <row r="382" spans="1:17" x14ac:dyDescent="0.25">
      <c r="A382" s="1" t="s">
        <v>1571</v>
      </c>
      <c r="B382" s="2">
        <v>45955</v>
      </c>
      <c r="C382" s="1" t="s">
        <v>1572</v>
      </c>
      <c r="D382" s="1" t="s">
        <v>1573</v>
      </c>
      <c r="E382" s="1" t="s">
        <v>540</v>
      </c>
      <c r="F382" s="1" t="s">
        <v>1574</v>
      </c>
      <c r="G382" s="1" t="s">
        <v>29</v>
      </c>
      <c r="H382" s="1" t="s">
        <v>80</v>
      </c>
      <c r="I382" s="1" t="s">
        <v>21</v>
      </c>
      <c r="J382">
        <v>3</v>
      </c>
      <c r="K382">
        <v>76396</v>
      </c>
      <c r="L382">
        <v>229188</v>
      </c>
      <c r="M382" s="1" t="s">
        <v>38</v>
      </c>
      <c r="N382" s="1" t="s">
        <v>31</v>
      </c>
      <c r="O382" t="str">
        <f>TEXT(SalesDataset[[#This Row],[Order_Date]],"mmm")</f>
        <v>Oct</v>
      </c>
      <c r="P382" s="1" t="str">
        <f>TEXT(SalesDataset[[#This Row],[Order_Date]],"YYYY")</f>
        <v>2025</v>
      </c>
      <c r="Q382" s="1" t="str">
        <f>_xlfn.TEXTJOIN(" ",TRUE,SalesDataset[[#This Row],[First_Name]],SalesDataset[[#This Row],[Last_Name]])</f>
        <v>Eduardo Williams</v>
      </c>
    </row>
    <row r="383" spans="1:17" x14ac:dyDescent="0.25">
      <c r="A383" s="1" t="s">
        <v>1575</v>
      </c>
      <c r="B383" s="2">
        <v>46124</v>
      </c>
      <c r="C383" s="1" t="s">
        <v>1576</v>
      </c>
      <c r="D383" s="1" t="s">
        <v>1341</v>
      </c>
      <c r="E383" s="1" t="s">
        <v>1577</v>
      </c>
      <c r="F383" s="1" t="s">
        <v>1578</v>
      </c>
      <c r="G383" s="1" t="s">
        <v>44</v>
      </c>
      <c r="H383" s="1" t="s">
        <v>45</v>
      </c>
      <c r="I383" s="1" t="s">
        <v>21</v>
      </c>
      <c r="J383">
        <v>5</v>
      </c>
      <c r="K383">
        <v>22245</v>
      </c>
      <c r="L383">
        <v>111225</v>
      </c>
      <c r="M383" s="1" t="s">
        <v>38</v>
      </c>
      <c r="N383" s="1" t="s">
        <v>23</v>
      </c>
      <c r="O383" t="str">
        <f>TEXT(SalesDataset[[#This Row],[Order_Date]],"mmm")</f>
        <v>Apr</v>
      </c>
      <c r="P383" s="1" t="str">
        <f>TEXT(SalesDataset[[#This Row],[Order_Date]],"YYYY")</f>
        <v>2026</v>
      </c>
      <c r="Q383" s="1" t="str">
        <f>_xlfn.TEXTJOIN(" ",TRUE,SalesDataset[[#This Row],[First_Name]],SalesDataset[[#This Row],[Last_Name]])</f>
        <v>Harold Murphy</v>
      </c>
    </row>
    <row r="384" spans="1:17" x14ac:dyDescent="0.25">
      <c r="A384" s="1" t="s">
        <v>1579</v>
      </c>
      <c r="B384" s="2">
        <v>45922</v>
      </c>
      <c r="C384" s="1" t="s">
        <v>1580</v>
      </c>
      <c r="D384" s="1" t="s">
        <v>796</v>
      </c>
      <c r="E384" s="1" t="s">
        <v>1581</v>
      </c>
      <c r="F384" s="1" t="s">
        <v>1582</v>
      </c>
      <c r="G384" s="1" t="s">
        <v>44</v>
      </c>
      <c r="H384" s="1" t="s">
        <v>80</v>
      </c>
      <c r="I384" s="1" t="s">
        <v>21</v>
      </c>
      <c r="J384">
        <v>2</v>
      </c>
      <c r="K384">
        <v>31194</v>
      </c>
      <c r="L384">
        <v>62388</v>
      </c>
      <c r="M384" s="1" t="s">
        <v>22</v>
      </c>
      <c r="N384" s="1" t="s">
        <v>23</v>
      </c>
      <c r="O384" t="str">
        <f>TEXT(SalesDataset[[#This Row],[Order_Date]],"mmm")</f>
        <v>Sep</v>
      </c>
      <c r="P384" s="1" t="str">
        <f>TEXT(SalesDataset[[#This Row],[Order_Date]],"YYYY")</f>
        <v>2025</v>
      </c>
      <c r="Q384" s="1" t="str">
        <f>_xlfn.TEXTJOIN(" ",TRUE,SalesDataset[[#This Row],[First_Name]],SalesDataset[[#This Row],[Last_Name]])</f>
        <v>Lauren Boyd</v>
      </c>
    </row>
    <row r="385" spans="1:17" x14ac:dyDescent="0.25">
      <c r="A385" s="1" t="s">
        <v>1583</v>
      </c>
      <c r="B385" s="2">
        <v>45879</v>
      </c>
      <c r="C385" s="1" t="s">
        <v>1584</v>
      </c>
      <c r="D385" s="1" t="s">
        <v>281</v>
      </c>
      <c r="E385" s="1" t="s">
        <v>620</v>
      </c>
      <c r="F385" s="1" t="s">
        <v>1585</v>
      </c>
      <c r="G385" s="1" t="s">
        <v>102</v>
      </c>
      <c r="H385" s="1" t="s">
        <v>30</v>
      </c>
      <c r="I385" s="1" t="s">
        <v>21</v>
      </c>
      <c r="J385">
        <v>3</v>
      </c>
      <c r="K385">
        <v>75600</v>
      </c>
      <c r="L385">
        <v>226800</v>
      </c>
      <c r="M385" s="1" t="s">
        <v>38</v>
      </c>
      <c r="N385" s="1" t="s">
        <v>46</v>
      </c>
      <c r="O385" t="str">
        <f>TEXT(SalesDataset[[#This Row],[Order_Date]],"mmm")</f>
        <v>Aug</v>
      </c>
      <c r="P385" s="1" t="str">
        <f>TEXT(SalesDataset[[#This Row],[Order_Date]],"YYYY")</f>
        <v>2025</v>
      </c>
      <c r="Q385" s="1" t="str">
        <f>_xlfn.TEXTJOIN(" ",TRUE,SalesDataset[[#This Row],[First_Name]],SalesDataset[[#This Row],[Last_Name]])</f>
        <v>Thomas Patrick</v>
      </c>
    </row>
    <row r="386" spans="1:17" x14ac:dyDescent="0.25">
      <c r="A386" s="1" t="s">
        <v>1586</v>
      </c>
      <c r="B386" s="2">
        <v>45975</v>
      </c>
      <c r="C386" s="1" t="s">
        <v>677</v>
      </c>
      <c r="D386" s="1" t="s">
        <v>1587</v>
      </c>
      <c r="E386" s="1" t="s">
        <v>1588</v>
      </c>
      <c r="F386" s="1" t="s">
        <v>1589</v>
      </c>
      <c r="G386" s="1" t="s">
        <v>102</v>
      </c>
      <c r="H386" s="1" t="s">
        <v>20</v>
      </c>
      <c r="I386" s="1" t="s">
        <v>21</v>
      </c>
      <c r="J386">
        <v>4</v>
      </c>
      <c r="K386">
        <v>3246</v>
      </c>
      <c r="L386">
        <v>12984</v>
      </c>
      <c r="M386" s="1" t="s">
        <v>86</v>
      </c>
      <c r="N386" s="1" t="s">
        <v>31</v>
      </c>
      <c r="O386" t="str">
        <f>TEXT(SalesDataset[[#This Row],[Order_Date]],"mmm")</f>
        <v>Nov</v>
      </c>
      <c r="P386" s="1" t="str">
        <f>TEXT(SalesDataset[[#This Row],[Order_Date]],"YYYY")</f>
        <v>2025</v>
      </c>
      <c r="Q386" s="1" t="str">
        <f>_xlfn.TEXTJOIN(" ",TRUE,SalesDataset[[#This Row],[First_Name]],SalesDataset[[#This Row],[Last_Name]])</f>
        <v>Amanda Mcintosh</v>
      </c>
    </row>
    <row r="387" spans="1:17" x14ac:dyDescent="0.25">
      <c r="A387" s="1" t="s">
        <v>1590</v>
      </c>
      <c r="B387" s="2">
        <v>45946</v>
      </c>
      <c r="C387" s="1" t="s">
        <v>1126</v>
      </c>
      <c r="D387" s="1" t="s">
        <v>1591</v>
      </c>
      <c r="E387" s="1" t="s">
        <v>756</v>
      </c>
      <c r="F387" s="1" t="s">
        <v>1592</v>
      </c>
      <c r="G387" s="1" t="s">
        <v>29</v>
      </c>
      <c r="H387" s="1" t="s">
        <v>80</v>
      </c>
      <c r="I387" s="1" t="s">
        <v>21</v>
      </c>
      <c r="J387">
        <v>2</v>
      </c>
      <c r="K387">
        <v>43814</v>
      </c>
      <c r="L387">
        <v>87628</v>
      </c>
      <c r="M387" s="1" t="s">
        <v>63</v>
      </c>
      <c r="N387" s="1" t="s">
        <v>31</v>
      </c>
      <c r="O387" t="str">
        <f>TEXT(SalesDataset[[#This Row],[Order_Date]],"mmm")</f>
        <v>Oct</v>
      </c>
      <c r="P387" s="1" t="str">
        <f>TEXT(SalesDataset[[#This Row],[Order_Date]],"YYYY")</f>
        <v>2025</v>
      </c>
      <c r="Q387" s="1" t="str">
        <f>_xlfn.TEXTJOIN(" ",TRUE,SalesDataset[[#This Row],[First_Name]],SalesDataset[[#This Row],[Last_Name]])</f>
        <v>Jeanette Bond</v>
      </c>
    </row>
    <row r="388" spans="1:17" x14ac:dyDescent="0.25">
      <c r="A388" s="1" t="s">
        <v>1593</v>
      </c>
      <c r="B388" s="2">
        <v>45845</v>
      </c>
      <c r="C388" s="1" t="s">
        <v>1594</v>
      </c>
      <c r="D388" s="1" t="s">
        <v>1595</v>
      </c>
      <c r="E388" s="1" t="s">
        <v>1596</v>
      </c>
      <c r="F388" s="1" t="s">
        <v>1597</v>
      </c>
      <c r="G388" s="1" t="s">
        <v>44</v>
      </c>
      <c r="H388" s="1" t="s">
        <v>80</v>
      </c>
      <c r="I388" s="1" t="s">
        <v>21</v>
      </c>
      <c r="J388">
        <v>5</v>
      </c>
      <c r="K388">
        <v>22690</v>
      </c>
      <c r="L388">
        <v>113450</v>
      </c>
      <c r="M388" s="1" t="s">
        <v>86</v>
      </c>
      <c r="N388" s="1" t="s">
        <v>31</v>
      </c>
      <c r="O388" t="str">
        <f>TEXT(SalesDataset[[#This Row],[Order_Date]],"mmm")</f>
        <v>Jul</v>
      </c>
      <c r="P388" s="1" t="str">
        <f>TEXT(SalesDataset[[#This Row],[Order_Date]],"YYYY")</f>
        <v>2025</v>
      </c>
      <c r="Q388" s="1" t="str">
        <f>_xlfn.TEXTJOIN(" ",TRUE,SalesDataset[[#This Row],[First_Name]],SalesDataset[[#This Row],[Last_Name]])</f>
        <v>Terri Hunt</v>
      </c>
    </row>
    <row r="389" spans="1:17" x14ac:dyDescent="0.25">
      <c r="A389" s="1" t="s">
        <v>1598</v>
      </c>
      <c r="B389" s="2">
        <v>45987</v>
      </c>
      <c r="C389" s="1" t="s">
        <v>1599</v>
      </c>
      <c r="D389" s="1" t="s">
        <v>1600</v>
      </c>
      <c r="E389" s="1" t="s">
        <v>1452</v>
      </c>
      <c r="F389" s="1" t="s">
        <v>1601</v>
      </c>
      <c r="G389" s="1" t="s">
        <v>19</v>
      </c>
      <c r="H389" s="1" t="s">
        <v>62</v>
      </c>
      <c r="I389" s="1" t="s">
        <v>21</v>
      </c>
      <c r="J389">
        <v>5</v>
      </c>
      <c r="K389">
        <v>8754</v>
      </c>
      <c r="L389">
        <v>43770</v>
      </c>
      <c r="M389" s="1" t="s">
        <v>38</v>
      </c>
      <c r="N389" s="1" t="s">
        <v>23</v>
      </c>
      <c r="O389" t="str">
        <f>TEXT(SalesDataset[[#This Row],[Order_Date]],"mmm")</f>
        <v>Nov</v>
      </c>
      <c r="P389" s="1" t="str">
        <f>TEXT(SalesDataset[[#This Row],[Order_Date]],"YYYY")</f>
        <v>2025</v>
      </c>
      <c r="Q389" s="1" t="str">
        <f>_xlfn.TEXTJOIN(" ",TRUE,SalesDataset[[#This Row],[First_Name]],SalesDataset[[#This Row],[Last_Name]])</f>
        <v>Samuel Lopez</v>
      </c>
    </row>
    <row r="390" spans="1:17" x14ac:dyDescent="0.25">
      <c r="A390" s="1" t="s">
        <v>1602</v>
      </c>
      <c r="B390" s="2">
        <v>45879</v>
      </c>
      <c r="C390" s="1" t="s">
        <v>943</v>
      </c>
      <c r="D390" s="1" t="s">
        <v>487</v>
      </c>
      <c r="E390" s="1" t="s">
        <v>735</v>
      </c>
      <c r="F390" s="1" t="s">
        <v>1603</v>
      </c>
      <c r="G390" s="1" t="s">
        <v>19</v>
      </c>
      <c r="H390" s="1" t="s">
        <v>30</v>
      </c>
      <c r="I390" s="1" t="s">
        <v>21</v>
      </c>
      <c r="J390">
        <v>1</v>
      </c>
      <c r="K390">
        <v>4111</v>
      </c>
      <c r="L390">
        <v>4111</v>
      </c>
      <c r="M390" s="1" t="s">
        <v>38</v>
      </c>
      <c r="N390" s="1" t="s">
        <v>23</v>
      </c>
      <c r="O390" t="str">
        <f>TEXT(SalesDataset[[#This Row],[Order_Date]],"mmm")</f>
        <v>Aug</v>
      </c>
      <c r="P390" s="1" t="str">
        <f>TEXT(SalesDataset[[#This Row],[Order_Date]],"YYYY")</f>
        <v>2025</v>
      </c>
      <c r="Q390" s="1" t="str">
        <f>_xlfn.TEXTJOIN(" ",TRUE,SalesDataset[[#This Row],[First_Name]],SalesDataset[[#This Row],[Last_Name]])</f>
        <v>David Barrett</v>
      </c>
    </row>
    <row r="391" spans="1:17" x14ac:dyDescent="0.25">
      <c r="A391" s="1" t="s">
        <v>1604</v>
      </c>
      <c r="B391" s="2">
        <v>45987</v>
      </c>
      <c r="C391" s="1" t="s">
        <v>1605</v>
      </c>
      <c r="D391" s="1" t="s">
        <v>410</v>
      </c>
      <c r="E391" s="1" t="s">
        <v>131</v>
      </c>
      <c r="F391" s="1" t="s">
        <v>1606</v>
      </c>
      <c r="G391" s="1" t="s">
        <v>19</v>
      </c>
      <c r="H391" s="1" t="s">
        <v>62</v>
      </c>
      <c r="I391" s="1" t="s">
        <v>21</v>
      </c>
      <c r="J391">
        <v>4</v>
      </c>
      <c r="K391">
        <v>12356</v>
      </c>
      <c r="L391">
        <v>49424</v>
      </c>
      <c r="M391" s="1" t="s">
        <v>38</v>
      </c>
      <c r="N391" s="1" t="s">
        <v>23</v>
      </c>
      <c r="O391" t="str">
        <f>TEXT(SalesDataset[[#This Row],[Order_Date]],"mmm")</f>
        <v>Nov</v>
      </c>
      <c r="P391" s="1" t="str">
        <f>TEXT(SalesDataset[[#This Row],[Order_Date]],"YYYY")</f>
        <v>2025</v>
      </c>
      <c r="Q391" s="1" t="str">
        <f>_xlfn.TEXTJOIN(" ",TRUE,SalesDataset[[#This Row],[First_Name]],SalesDataset[[#This Row],[Last_Name]])</f>
        <v>Sandra Smith</v>
      </c>
    </row>
    <row r="392" spans="1:17" x14ac:dyDescent="0.25">
      <c r="A392" s="1" t="s">
        <v>1607</v>
      </c>
      <c r="B392" s="2">
        <v>46042</v>
      </c>
      <c r="C392" s="1" t="s">
        <v>1516</v>
      </c>
      <c r="D392" s="1" t="s">
        <v>66</v>
      </c>
      <c r="E392" s="1" t="s">
        <v>121</v>
      </c>
      <c r="F392" s="1" t="s">
        <v>1608</v>
      </c>
      <c r="G392" s="1" t="s">
        <v>29</v>
      </c>
      <c r="H392" s="1" t="s">
        <v>37</v>
      </c>
      <c r="I392" s="1" t="s">
        <v>21</v>
      </c>
      <c r="J392">
        <v>3</v>
      </c>
      <c r="K392">
        <v>7275</v>
      </c>
      <c r="L392">
        <v>21825</v>
      </c>
      <c r="M392" s="1" t="s">
        <v>22</v>
      </c>
      <c r="N392" s="1" t="s">
        <v>46</v>
      </c>
      <c r="O392" t="str">
        <f>TEXT(SalesDataset[[#This Row],[Order_Date]],"mmm")</f>
        <v>Jan</v>
      </c>
      <c r="P392" s="1" t="str">
        <f>TEXT(SalesDataset[[#This Row],[Order_Date]],"YYYY")</f>
        <v>2026</v>
      </c>
      <c r="Q392" s="1" t="str">
        <f>_xlfn.TEXTJOIN(" ",TRUE,SalesDataset[[#This Row],[First_Name]],SalesDataset[[#This Row],[Last_Name]])</f>
        <v>Angela Davis</v>
      </c>
    </row>
    <row r="393" spans="1:17" x14ac:dyDescent="0.25">
      <c r="A393" s="1" t="s">
        <v>1609</v>
      </c>
      <c r="B393" s="2">
        <v>45960</v>
      </c>
      <c r="C393" s="1" t="s">
        <v>595</v>
      </c>
      <c r="D393" s="1" t="s">
        <v>1093</v>
      </c>
      <c r="E393" s="1" t="s">
        <v>1610</v>
      </c>
      <c r="F393" s="1" t="s">
        <v>1611</v>
      </c>
      <c r="G393" s="1" t="s">
        <v>44</v>
      </c>
      <c r="H393" s="1" t="s">
        <v>37</v>
      </c>
      <c r="I393" s="1" t="s">
        <v>21</v>
      </c>
      <c r="J393">
        <v>2</v>
      </c>
      <c r="K393">
        <v>45274</v>
      </c>
      <c r="L393">
        <v>90548</v>
      </c>
      <c r="M393" s="1" t="s">
        <v>38</v>
      </c>
      <c r="N393" s="1" t="s">
        <v>46</v>
      </c>
      <c r="O393" t="str">
        <f>TEXT(SalesDataset[[#This Row],[Order_Date]],"mmm")</f>
        <v>Oct</v>
      </c>
      <c r="P393" s="1" t="str">
        <f>TEXT(SalesDataset[[#This Row],[Order_Date]],"YYYY")</f>
        <v>2025</v>
      </c>
      <c r="Q393" s="1" t="str">
        <f>_xlfn.TEXTJOIN(" ",TRUE,SalesDataset[[#This Row],[First_Name]],SalesDataset[[#This Row],[Last_Name]])</f>
        <v>Aaron Stevens</v>
      </c>
    </row>
    <row r="394" spans="1:17" x14ac:dyDescent="0.25">
      <c r="A394" s="1" t="s">
        <v>1612</v>
      </c>
      <c r="B394" s="2">
        <v>46021</v>
      </c>
      <c r="C394" s="1" t="s">
        <v>154</v>
      </c>
      <c r="D394" s="1" t="s">
        <v>1613</v>
      </c>
      <c r="E394" s="1" t="s">
        <v>540</v>
      </c>
      <c r="F394" s="1" t="s">
        <v>1614</v>
      </c>
      <c r="G394" s="1" t="s">
        <v>19</v>
      </c>
      <c r="H394" s="1" t="s">
        <v>37</v>
      </c>
      <c r="I394" s="1" t="s">
        <v>21</v>
      </c>
      <c r="J394">
        <v>1</v>
      </c>
      <c r="K394">
        <v>79188</v>
      </c>
      <c r="L394">
        <v>79188</v>
      </c>
      <c r="M394" s="1" t="s">
        <v>38</v>
      </c>
      <c r="N394" s="1" t="s">
        <v>31</v>
      </c>
      <c r="O394" t="str">
        <f>TEXT(SalesDataset[[#This Row],[Order_Date]],"mmm")</f>
        <v>Dec</v>
      </c>
      <c r="P394" s="1" t="str">
        <f>TEXT(SalesDataset[[#This Row],[Order_Date]],"YYYY")</f>
        <v>2025</v>
      </c>
      <c r="Q394" s="1" t="str">
        <f>_xlfn.TEXTJOIN(" ",TRUE,SalesDataset[[#This Row],[First_Name]],SalesDataset[[#This Row],[Last_Name]])</f>
        <v>Devin Williams</v>
      </c>
    </row>
    <row r="395" spans="1:17" x14ac:dyDescent="0.25">
      <c r="A395" s="1" t="s">
        <v>1615</v>
      </c>
      <c r="B395" s="2">
        <v>45918</v>
      </c>
      <c r="C395" s="1" t="s">
        <v>637</v>
      </c>
      <c r="D395" s="1" t="s">
        <v>34</v>
      </c>
      <c r="E395" s="1" t="s">
        <v>241</v>
      </c>
      <c r="F395" s="1" t="s">
        <v>1616</v>
      </c>
      <c r="G395" s="1" t="s">
        <v>19</v>
      </c>
      <c r="H395" s="1" t="s">
        <v>80</v>
      </c>
      <c r="I395" s="1" t="s">
        <v>21</v>
      </c>
      <c r="J395">
        <v>4</v>
      </c>
      <c r="K395">
        <v>2411</v>
      </c>
      <c r="L395">
        <v>9644</v>
      </c>
      <c r="M395" s="1" t="s">
        <v>74</v>
      </c>
      <c r="N395" s="1" t="s">
        <v>46</v>
      </c>
      <c r="O395" t="str">
        <f>TEXT(SalesDataset[[#This Row],[Order_Date]],"mmm")</f>
        <v>Sep</v>
      </c>
      <c r="P395" s="1" t="str">
        <f>TEXT(SalesDataset[[#This Row],[Order_Date]],"YYYY")</f>
        <v>2025</v>
      </c>
      <c r="Q395" s="1" t="str">
        <f>_xlfn.TEXTJOIN(" ",TRUE,SalesDataset[[#This Row],[First_Name]],SalesDataset[[#This Row],[Last_Name]])</f>
        <v>Jennifer Walker</v>
      </c>
    </row>
    <row r="396" spans="1:17" x14ac:dyDescent="0.25">
      <c r="A396" s="1" t="s">
        <v>1617</v>
      </c>
      <c r="B396" s="2">
        <v>45966</v>
      </c>
      <c r="C396" s="1" t="s">
        <v>1312</v>
      </c>
      <c r="D396" s="1" t="s">
        <v>83</v>
      </c>
      <c r="E396" s="1" t="s">
        <v>1618</v>
      </c>
      <c r="F396" s="1" t="s">
        <v>1619</v>
      </c>
      <c r="G396" s="1" t="s">
        <v>19</v>
      </c>
      <c r="H396" s="1" t="s">
        <v>30</v>
      </c>
      <c r="I396" s="1" t="s">
        <v>21</v>
      </c>
      <c r="J396">
        <v>3</v>
      </c>
      <c r="K396">
        <v>67972</v>
      </c>
      <c r="L396">
        <v>203916</v>
      </c>
      <c r="M396" s="1" t="s">
        <v>74</v>
      </c>
      <c r="N396" s="1" t="s">
        <v>23</v>
      </c>
      <c r="O396" t="str">
        <f>TEXT(SalesDataset[[#This Row],[Order_Date]],"mmm")</f>
        <v>Nov</v>
      </c>
      <c r="P396" s="1" t="str">
        <f>TEXT(SalesDataset[[#This Row],[Order_Date]],"YYYY")</f>
        <v>2025</v>
      </c>
      <c r="Q396" s="1" t="str">
        <f>_xlfn.TEXTJOIN(" ",TRUE,SalesDataset[[#This Row],[First_Name]],SalesDataset[[#This Row],[Last_Name]])</f>
        <v>Ashley Gill</v>
      </c>
    </row>
    <row r="397" spans="1:17" x14ac:dyDescent="0.25">
      <c r="A397" s="1" t="s">
        <v>1620</v>
      </c>
      <c r="B397" s="2">
        <v>46098</v>
      </c>
      <c r="C397" s="1" t="s">
        <v>1621</v>
      </c>
      <c r="D397" s="1" t="s">
        <v>305</v>
      </c>
      <c r="E397" s="1" t="s">
        <v>488</v>
      </c>
      <c r="F397" s="1" t="s">
        <v>1622</v>
      </c>
      <c r="G397" s="1" t="s">
        <v>19</v>
      </c>
      <c r="H397" s="1" t="s">
        <v>20</v>
      </c>
      <c r="I397" s="1" t="s">
        <v>21</v>
      </c>
      <c r="J397">
        <v>4</v>
      </c>
      <c r="K397">
        <v>68102</v>
      </c>
      <c r="L397">
        <v>272408</v>
      </c>
      <c r="M397" s="1" t="s">
        <v>86</v>
      </c>
      <c r="N397" s="1" t="s">
        <v>31</v>
      </c>
      <c r="O397" t="str">
        <f>TEXT(SalesDataset[[#This Row],[Order_Date]],"mmm")</f>
        <v>Mar</v>
      </c>
      <c r="P397" s="1" t="str">
        <f>TEXT(SalesDataset[[#This Row],[Order_Date]],"YYYY")</f>
        <v>2026</v>
      </c>
      <c r="Q397" s="1" t="str">
        <f>_xlfn.TEXTJOIN(" ",TRUE,SalesDataset[[#This Row],[First_Name]],SalesDataset[[#This Row],[Last_Name]])</f>
        <v>Christopher Johnson</v>
      </c>
    </row>
    <row r="398" spans="1:17" x14ac:dyDescent="0.25">
      <c r="A398" s="1" t="s">
        <v>1623</v>
      </c>
      <c r="B398" s="2">
        <v>46065</v>
      </c>
      <c r="C398" s="1" t="s">
        <v>565</v>
      </c>
      <c r="D398" s="1" t="s">
        <v>383</v>
      </c>
      <c r="E398" s="1" t="s">
        <v>1452</v>
      </c>
      <c r="F398" s="1" t="s">
        <v>1624</v>
      </c>
      <c r="G398" s="1" t="s">
        <v>19</v>
      </c>
      <c r="H398" s="1" t="s">
        <v>30</v>
      </c>
      <c r="I398" s="1" t="s">
        <v>21</v>
      </c>
      <c r="J398">
        <v>1</v>
      </c>
      <c r="K398">
        <v>58023</v>
      </c>
      <c r="L398">
        <v>58023</v>
      </c>
      <c r="M398" s="1" t="s">
        <v>38</v>
      </c>
      <c r="N398" s="1" t="s">
        <v>23</v>
      </c>
      <c r="O398" t="str">
        <f>TEXT(SalesDataset[[#This Row],[Order_Date]],"mmm")</f>
        <v>Feb</v>
      </c>
      <c r="P398" s="1" t="str">
        <f>TEXT(SalesDataset[[#This Row],[Order_Date]],"YYYY")</f>
        <v>2026</v>
      </c>
      <c r="Q398" s="1" t="str">
        <f>_xlfn.TEXTJOIN(" ",TRUE,SalesDataset[[#This Row],[First_Name]],SalesDataset[[#This Row],[Last_Name]])</f>
        <v>Melissa Lopez</v>
      </c>
    </row>
    <row r="399" spans="1:17" x14ac:dyDescent="0.25">
      <c r="A399" s="1" t="s">
        <v>1625</v>
      </c>
      <c r="B399" s="2">
        <v>46011</v>
      </c>
      <c r="C399" s="1" t="s">
        <v>1626</v>
      </c>
      <c r="D399" s="1" t="s">
        <v>1524</v>
      </c>
      <c r="E399" s="1" t="s">
        <v>1627</v>
      </c>
      <c r="F399" s="1" t="s">
        <v>1628</v>
      </c>
      <c r="G399" s="1" t="s">
        <v>29</v>
      </c>
      <c r="H399" s="1" t="s">
        <v>37</v>
      </c>
      <c r="I399" s="1" t="s">
        <v>21</v>
      </c>
      <c r="J399">
        <v>5</v>
      </c>
      <c r="K399">
        <v>68805</v>
      </c>
      <c r="L399">
        <v>344025</v>
      </c>
      <c r="M399" s="1" t="s">
        <v>86</v>
      </c>
      <c r="N399" s="1" t="s">
        <v>31</v>
      </c>
      <c r="O399" t="str">
        <f>TEXT(SalesDataset[[#This Row],[Order_Date]],"mmm")</f>
        <v>Dec</v>
      </c>
      <c r="P399" s="1" t="str">
        <f>TEXT(SalesDataset[[#This Row],[Order_Date]],"YYYY")</f>
        <v>2025</v>
      </c>
      <c r="Q399" s="1" t="str">
        <f>_xlfn.TEXTJOIN(" ",TRUE,SalesDataset[[#This Row],[First_Name]],SalesDataset[[#This Row],[Last_Name]])</f>
        <v>Connor Moran</v>
      </c>
    </row>
    <row r="400" spans="1:17" x14ac:dyDescent="0.25">
      <c r="A400" s="1" t="s">
        <v>1629</v>
      </c>
      <c r="B400" s="2">
        <v>46032</v>
      </c>
      <c r="C400" s="1" t="s">
        <v>1630</v>
      </c>
      <c r="D400" s="1" t="s">
        <v>203</v>
      </c>
      <c r="E400" s="1" t="s">
        <v>1631</v>
      </c>
      <c r="F400" s="1" t="s">
        <v>1632</v>
      </c>
      <c r="G400" s="1" t="s">
        <v>29</v>
      </c>
      <c r="H400" s="1" t="s">
        <v>45</v>
      </c>
      <c r="I400" s="1" t="s">
        <v>21</v>
      </c>
      <c r="J400">
        <v>2</v>
      </c>
      <c r="K400">
        <v>44319</v>
      </c>
      <c r="L400">
        <v>88638</v>
      </c>
      <c r="M400" s="1" t="s">
        <v>38</v>
      </c>
      <c r="N400" s="1" t="s">
        <v>31</v>
      </c>
      <c r="O400" t="str">
        <f>TEXT(SalesDataset[[#This Row],[Order_Date]],"mmm")</f>
        <v>Jan</v>
      </c>
      <c r="P400" s="1" t="str">
        <f>TEXT(SalesDataset[[#This Row],[Order_Date]],"YYYY")</f>
        <v>2026</v>
      </c>
      <c r="Q400" s="1" t="str">
        <f>_xlfn.TEXTJOIN(" ",TRUE,SalesDataset[[#This Row],[First_Name]],SalesDataset[[#This Row],[Last_Name]])</f>
        <v>Julia Khan</v>
      </c>
    </row>
    <row r="401" spans="1:17" x14ac:dyDescent="0.25">
      <c r="A401" s="1" t="s">
        <v>1633</v>
      </c>
      <c r="B401" s="2">
        <v>45991</v>
      </c>
      <c r="C401" s="1" t="s">
        <v>1440</v>
      </c>
      <c r="D401" s="1" t="s">
        <v>1634</v>
      </c>
      <c r="E401" s="1" t="s">
        <v>851</v>
      </c>
      <c r="F401" s="1" t="s">
        <v>1635</v>
      </c>
      <c r="G401" s="1" t="s">
        <v>44</v>
      </c>
      <c r="H401" s="1" t="s">
        <v>62</v>
      </c>
      <c r="I401" s="1" t="s">
        <v>21</v>
      </c>
      <c r="J401">
        <v>3</v>
      </c>
      <c r="K401">
        <v>45502</v>
      </c>
      <c r="L401">
        <v>136506</v>
      </c>
      <c r="M401" s="1" t="s">
        <v>38</v>
      </c>
      <c r="N401" s="1" t="s">
        <v>31</v>
      </c>
      <c r="O401" t="str">
        <f>TEXT(SalesDataset[[#This Row],[Order_Date]],"mmm")</f>
        <v>Nov</v>
      </c>
      <c r="P401" s="1" t="str">
        <f>TEXT(SalesDataset[[#This Row],[Order_Date]],"YYYY")</f>
        <v>2025</v>
      </c>
      <c r="Q401" s="1" t="str">
        <f>_xlfn.TEXTJOIN(" ",TRUE,SalesDataset[[#This Row],[First_Name]],SalesDataset[[#This Row],[Last_Name]])</f>
        <v>Sherri Adams</v>
      </c>
    </row>
    <row r="402" spans="1:17" x14ac:dyDescent="0.25">
      <c r="A402" s="1" t="s">
        <v>1636</v>
      </c>
      <c r="B402" s="2">
        <v>46018</v>
      </c>
      <c r="C402" s="1" t="s">
        <v>144</v>
      </c>
      <c r="D402" s="1" t="s">
        <v>1637</v>
      </c>
      <c r="E402" s="1" t="s">
        <v>1638</v>
      </c>
      <c r="F402" s="1" t="s">
        <v>1639</v>
      </c>
      <c r="G402" s="1" t="s">
        <v>44</v>
      </c>
      <c r="H402" s="1" t="s">
        <v>20</v>
      </c>
      <c r="I402" s="1" t="s">
        <v>21</v>
      </c>
      <c r="J402">
        <v>3</v>
      </c>
      <c r="K402">
        <v>66294</v>
      </c>
      <c r="L402">
        <v>198882</v>
      </c>
      <c r="M402" s="1" t="s">
        <v>38</v>
      </c>
      <c r="N402" s="1" t="s">
        <v>23</v>
      </c>
      <c r="O402" t="str">
        <f>TEXT(SalesDataset[[#This Row],[Order_Date]],"mmm")</f>
        <v>Dec</v>
      </c>
      <c r="P402" s="1" t="str">
        <f>TEXT(SalesDataset[[#This Row],[Order_Date]],"YYYY")</f>
        <v>2025</v>
      </c>
      <c r="Q402" s="1" t="str">
        <f>_xlfn.TEXTJOIN(" ",TRUE,SalesDataset[[#This Row],[First_Name]],SalesDataset[[#This Row],[Last_Name]])</f>
        <v>Juan Becker</v>
      </c>
    </row>
    <row r="403" spans="1:17" x14ac:dyDescent="0.25">
      <c r="A403" s="1" t="s">
        <v>1640</v>
      </c>
      <c r="B403" s="2">
        <v>45821</v>
      </c>
      <c r="C403" s="1" t="s">
        <v>364</v>
      </c>
      <c r="D403" s="1" t="s">
        <v>1641</v>
      </c>
      <c r="E403" s="1" t="s">
        <v>822</v>
      </c>
      <c r="F403" s="1" t="s">
        <v>1642</v>
      </c>
      <c r="G403" s="1" t="s">
        <v>19</v>
      </c>
      <c r="H403" s="1" t="s">
        <v>80</v>
      </c>
      <c r="I403" s="1" t="s">
        <v>21</v>
      </c>
      <c r="J403">
        <v>3</v>
      </c>
      <c r="K403">
        <v>15500</v>
      </c>
      <c r="L403">
        <v>46500</v>
      </c>
      <c r="M403" s="1" t="s">
        <v>63</v>
      </c>
      <c r="N403" s="1" t="s">
        <v>46</v>
      </c>
      <c r="O403" t="str">
        <f>TEXT(SalesDataset[[#This Row],[Order_Date]],"mmm")</f>
        <v>Jun</v>
      </c>
      <c r="P403" s="1" t="str">
        <f>TEXT(SalesDataset[[#This Row],[Order_Date]],"YYYY")</f>
        <v>2025</v>
      </c>
      <c r="Q403" s="1" t="str">
        <f>_xlfn.TEXTJOIN(" ",TRUE,SalesDataset[[#This Row],[First_Name]],SalesDataset[[#This Row],[Last_Name]])</f>
        <v>Cassandra Harris</v>
      </c>
    </row>
    <row r="404" spans="1:17" x14ac:dyDescent="0.25">
      <c r="A404" s="1" t="s">
        <v>1643</v>
      </c>
      <c r="B404" s="2">
        <v>46086</v>
      </c>
      <c r="C404" s="1" t="s">
        <v>1644</v>
      </c>
      <c r="D404" s="1" t="s">
        <v>59</v>
      </c>
      <c r="E404" s="1" t="s">
        <v>652</v>
      </c>
      <c r="F404" s="1" t="s">
        <v>1645</v>
      </c>
      <c r="G404" s="1" t="s">
        <v>44</v>
      </c>
      <c r="H404" s="1" t="s">
        <v>30</v>
      </c>
      <c r="I404" s="1" t="s">
        <v>21</v>
      </c>
      <c r="J404">
        <v>2</v>
      </c>
      <c r="K404">
        <v>17283</v>
      </c>
      <c r="L404">
        <v>34566</v>
      </c>
      <c r="M404" s="1" t="s">
        <v>74</v>
      </c>
      <c r="N404" s="1" t="s">
        <v>46</v>
      </c>
      <c r="O404" t="str">
        <f>TEXT(SalesDataset[[#This Row],[Order_Date]],"mmm")</f>
        <v>Mar</v>
      </c>
      <c r="P404" s="1" t="str">
        <f>TEXT(SalesDataset[[#This Row],[Order_Date]],"YYYY")</f>
        <v>2026</v>
      </c>
      <c r="Q404" s="1" t="str">
        <f>_xlfn.TEXTJOIN(" ",TRUE,SalesDataset[[#This Row],[First_Name]],SalesDataset[[#This Row],[Last_Name]])</f>
        <v>Jason Ramos</v>
      </c>
    </row>
    <row r="405" spans="1:17" x14ac:dyDescent="0.25">
      <c r="A405" s="1" t="s">
        <v>1646</v>
      </c>
      <c r="B405" s="2">
        <v>46130</v>
      </c>
      <c r="C405" s="1" t="s">
        <v>1647</v>
      </c>
      <c r="D405" s="1" t="s">
        <v>1038</v>
      </c>
      <c r="E405" s="1" t="s">
        <v>1648</v>
      </c>
      <c r="F405" s="1" t="s">
        <v>1649</v>
      </c>
      <c r="G405" s="1" t="s">
        <v>19</v>
      </c>
      <c r="H405" s="1" t="s">
        <v>62</v>
      </c>
      <c r="I405" s="1" t="s">
        <v>21</v>
      </c>
      <c r="J405">
        <v>2</v>
      </c>
      <c r="K405">
        <v>37056</v>
      </c>
      <c r="L405">
        <v>74112</v>
      </c>
      <c r="M405" s="1" t="s">
        <v>74</v>
      </c>
      <c r="N405" s="1" t="s">
        <v>31</v>
      </c>
      <c r="O405" t="str">
        <f>TEXT(SalesDataset[[#This Row],[Order_Date]],"mmm")</f>
        <v>Apr</v>
      </c>
      <c r="P405" s="1" t="str">
        <f>TEXT(SalesDataset[[#This Row],[Order_Date]],"YYYY")</f>
        <v>2026</v>
      </c>
      <c r="Q405" s="1" t="str">
        <f>_xlfn.TEXTJOIN(" ",TRUE,SalesDataset[[#This Row],[First_Name]],SalesDataset[[#This Row],[Last_Name]])</f>
        <v>Leslie Butler</v>
      </c>
    </row>
    <row r="406" spans="1:17" x14ac:dyDescent="0.25">
      <c r="A406" s="1" t="s">
        <v>1650</v>
      </c>
      <c r="B406" s="2">
        <v>45941</v>
      </c>
      <c r="C406" s="1" t="s">
        <v>1651</v>
      </c>
      <c r="D406" s="1" t="s">
        <v>366</v>
      </c>
      <c r="E406" s="1" t="s">
        <v>652</v>
      </c>
      <c r="F406" s="1" t="s">
        <v>1652</v>
      </c>
      <c r="G406" s="1" t="s">
        <v>19</v>
      </c>
      <c r="H406" s="1" t="s">
        <v>62</v>
      </c>
      <c r="I406" s="1" t="s">
        <v>21</v>
      </c>
      <c r="J406">
        <v>2</v>
      </c>
      <c r="K406">
        <v>29884</v>
      </c>
      <c r="L406">
        <v>59768</v>
      </c>
      <c r="M406" s="1" t="s">
        <v>38</v>
      </c>
      <c r="N406" s="1" t="s">
        <v>23</v>
      </c>
      <c r="O406" t="str">
        <f>TEXT(SalesDataset[[#This Row],[Order_Date]],"mmm")</f>
        <v>Oct</v>
      </c>
      <c r="P406" s="1" t="str">
        <f>TEXT(SalesDataset[[#This Row],[Order_Date]],"YYYY")</f>
        <v>2025</v>
      </c>
      <c r="Q406" s="1" t="str">
        <f>_xlfn.TEXTJOIN(" ",TRUE,SalesDataset[[#This Row],[First_Name]],SalesDataset[[#This Row],[Last_Name]])</f>
        <v>Joseph Ramos</v>
      </c>
    </row>
    <row r="407" spans="1:17" x14ac:dyDescent="0.25">
      <c r="A407" s="1" t="s">
        <v>1653</v>
      </c>
      <c r="B407" s="2">
        <v>45973</v>
      </c>
      <c r="C407" s="1" t="s">
        <v>1179</v>
      </c>
      <c r="D407" s="1" t="s">
        <v>273</v>
      </c>
      <c r="E407" s="1" t="s">
        <v>401</v>
      </c>
      <c r="F407" s="1" t="s">
        <v>1654</v>
      </c>
      <c r="G407" s="1" t="s">
        <v>102</v>
      </c>
      <c r="H407" s="1" t="s">
        <v>62</v>
      </c>
      <c r="I407" s="1" t="s">
        <v>21</v>
      </c>
      <c r="J407">
        <v>2</v>
      </c>
      <c r="K407">
        <v>23634</v>
      </c>
      <c r="L407">
        <v>47268</v>
      </c>
      <c r="M407" s="1" t="s">
        <v>74</v>
      </c>
      <c r="N407" s="1" t="s">
        <v>46</v>
      </c>
      <c r="O407" t="str">
        <f>TEXT(SalesDataset[[#This Row],[Order_Date]],"mmm")</f>
        <v>Nov</v>
      </c>
      <c r="P407" s="1" t="str">
        <f>TEXT(SalesDataset[[#This Row],[Order_Date]],"YYYY")</f>
        <v>2025</v>
      </c>
      <c r="Q407" s="1" t="str">
        <f>_xlfn.TEXTJOIN(" ",TRUE,SalesDataset[[#This Row],[First_Name]],SalesDataset[[#This Row],[Last_Name]])</f>
        <v>Robert Scott</v>
      </c>
    </row>
    <row r="408" spans="1:17" x14ac:dyDescent="0.25">
      <c r="A408" s="1" t="s">
        <v>1655</v>
      </c>
      <c r="B408" s="2">
        <v>46078</v>
      </c>
      <c r="C408" s="1" t="s">
        <v>1656</v>
      </c>
      <c r="D408" s="1" t="s">
        <v>1220</v>
      </c>
      <c r="E408" s="1" t="s">
        <v>1610</v>
      </c>
      <c r="F408" s="1" t="s">
        <v>1657</v>
      </c>
      <c r="G408" s="1" t="s">
        <v>29</v>
      </c>
      <c r="H408" s="1" t="s">
        <v>30</v>
      </c>
      <c r="I408" s="1" t="s">
        <v>21</v>
      </c>
      <c r="J408">
        <v>3</v>
      </c>
      <c r="K408">
        <v>71172</v>
      </c>
      <c r="L408">
        <v>213516</v>
      </c>
      <c r="M408" s="1" t="s">
        <v>22</v>
      </c>
      <c r="N408" s="1" t="s">
        <v>23</v>
      </c>
      <c r="O408" t="str">
        <f>TEXT(SalesDataset[[#This Row],[Order_Date]],"mmm")</f>
        <v>Feb</v>
      </c>
      <c r="P408" s="1" t="str">
        <f>TEXT(SalesDataset[[#This Row],[Order_Date]],"YYYY")</f>
        <v>2026</v>
      </c>
      <c r="Q408" s="1" t="str">
        <f>_xlfn.TEXTJOIN(" ",TRUE,SalesDataset[[#This Row],[First_Name]],SalesDataset[[#This Row],[Last_Name]])</f>
        <v>Ryan Stevens</v>
      </c>
    </row>
    <row r="409" spans="1:17" x14ac:dyDescent="0.25">
      <c r="A409" s="1" t="s">
        <v>1658</v>
      </c>
      <c r="B409" s="2">
        <v>45943</v>
      </c>
      <c r="C409" s="1" t="s">
        <v>778</v>
      </c>
      <c r="D409" s="1" t="s">
        <v>850</v>
      </c>
      <c r="E409" s="1" t="s">
        <v>1659</v>
      </c>
      <c r="F409" s="1" t="s">
        <v>1660</v>
      </c>
      <c r="G409" s="1" t="s">
        <v>102</v>
      </c>
      <c r="H409" s="1" t="s">
        <v>80</v>
      </c>
      <c r="I409" s="1" t="s">
        <v>21</v>
      </c>
      <c r="J409">
        <v>4</v>
      </c>
      <c r="K409">
        <v>37857</v>
      </c>
      <c r="L409">
        <v>151428</v>
      </c>
      <c r="M409" s="1" t="s">
        <v>22</v>
      </c>
      <c r="N409" s="1" t="s">
        <v>31</v>
      </c>
      <c r="O409" t="str">
        <f>TEXT(SalesDataset[[#This Row],[Order_Date]],"mmm")</f>
        <v>Oct</v>
      </c>
      <c r="P409" s="1" t="str">
        <f>TEXT(SalesDataset[[#This Row],[Order_Date]],"YYYY")</f>
        <v>2025</v>
      </c>
      <c r="Q409" s="1" t="str">
        <f>_xlfn.TEXTJOIN(" ",TRUE,SalesDataset[[#This Row],[First_Name]],SalesDataset[[#This Row],[Last_Name]])</f>
        <v>Emily Juarez</v>
      </c>
    </row>
    <row r="410" spans="1:17" x14ac:dyDescent="0.25">
      <c r="A410" s="1" t="s">
        <v>1661</v>
      </c>
      <c r="B410" s="2">
        <v>45932</v>
      </c>
      <c r="C410" s="1" t="s">
        <v>1662</v>
      </c>
      <c r="D410" s="1" t="s">
        <v>693</v>
      </c>
      <c r="E410" s="1" t="s">
        <v>825</v>
      </c>
      <c r="F410" s="1" t="s">
        <v>1663</v>
      </c>
      <c r="G410" s="1" t="s">
        <v>29</v>
      </c>
      <c r="H410" s="1" t="s">
        <v>20</v>
      </c>
      <c r="I410" s="1" t="s">
        <v>21</v>
      </c>
      <c r="J410">
        <v>3</v>
      </c>
      <c r="K410">
        <v>1159</v>
      </c>
      <c r="L410">
        <v>3477</v>
      </c>
      <c r="M410" s="1" t="s">
        <v>86</v>
      </c>
      <c r="N410" s="1" t="s">
        <v>31</v>
      </c>
      <c r="O410" t="str">
        <f>TEXT(SalesDataset[[#This Row],[Order_Date]],"mmm")</f>
        <v>Oct</v>
      </c>
      <c r="P410" s="1" t="str">
        <f>TEXT(SalesDataset[[#This Row],[Order_Date]],"YYYY")</f>
        <v>2025</v>
      </c>
      <c r="Q410" s="1" t="str">
        <f>_xlfn.TEXTJOIN(" ",TRUE,SalesDataset[[#This Row],[First_Name]],SalesDataset[[#This Row],[Last_Name]])</f>
        <v>Jessica Gregory</v>
      </c>
    </row>
    <row r="411" spans="1:17" x14ac:dyDescent="0.25">
      <c r="A411" s="1" t="s">
        <v>1664</v>
      </c>
      <c r="B411" s="2">
        <v>45813</v>
      </c>
      <c r="C411" s="1" t="s">
        <v>1665</v>
      </c>
      <c r="D411" s="1" t="s">
        <v>1258</v>
      </c>
      <c r="E411" s="1" t="s">
        <v>1666</v>
      </c>
      <c r="F411" s="1" t="s">
        <v>1667</v>
      </c>
      <c r="G411" s="1" t="s">
        <v>44</v>
      </c>
      <c r="H411" s="1" t="s">
        <v>62</v>
      </c>
      <c r="I411" s="1" t="s">
        <v>21</v>
      </c>
      <c r="J411">
        <v>1</v>
      </c>
      <c r="K411">
        <v>32623</v>
      </c>
      <c r="L411">
        <v>32623</v>
      </c>
      <c r="M411" s="1" t="s">
        <v>86</v>
      </c>
      <c r="N411" s="1" t="s">
        <v>23</v>
      </c>
      <c r="O411" t="str">
        <f>TEXT(SalesDataset[[#This Row],[Order_Date]],"mmm")</f>
        <v>Jun</v>
      </c>
      <c r="P411" s="1" t="str">
        <f>TEXT(SalesDataset[[#This Row],[Order_Date]],"YYYY")</f>
        <v>2025</v>
      </c>
      <c r="Q411" s="1" t="str">
        <f>_xlfn.TEXTJOIN(" ",TRUE,SalesDataset[[#This Row],[First_Name]],SalesDataset[[#This Row],[Last_Name]])</f>
        <v>Charles Reeves</v>
      </c>
    </row>
    <row r="412" spans="1:17" x14ac:dyDescent="0.25">
      <c r="A412" s="1" t="s">
        <v>1668</v>
      </c>
      <c r="B412" s="2">
        <v>45868</v>
      </c>
      <c r="C412" s="1" t="s">
        <v>1669</v>
      </c>
      <c r="D412" s="1" t="s">
        <v>1099</v>
      </c>
      <c r="E412" s="1" t="s">
        <v>532</v>
      </c>
      <c r="F412" s="1" t="s">
        <v>1670</v>
      </c>
      <c r="G412" s="1" t="s">
        <v>44</v>
      </c>
      <c r="H412" s="1" t="s">
        <v>20</v>
      </c>
      <c r="I412" s="1" t="s">
        <v>21</v>
      </c>
      <c r="J412">
        <v>1</v>
      </c>
      <c r="K412">
        <v>26035</v>
      </c>
      <c r="L412">
        <v>26035</v>
      </c>
      <c r="M412" s="1" t="s">
        <v>86</v>
      </c>
      <c r="N412" s="1" t="s">
        <v>31</v>
      </c>
      <c r="O412" t="str">
        <f>TEXT(SalesDataset[[#This Row],[Order_Date]],"mmm")</f>
        <v>Jul</v>
      </c>
      <c r="P412" s="1" t="str">
        <f>TEXT(SalesDataset[[#This Row],[Order_Date]],"YYYY")</f>
        <v>2025</v>
      </c>
      <c r="Q412" s="1" t="str">
        <f>_xlfn.TEXTJOIN(" ",TRUE,SalesDataset[[#This Row],[First_Name]],SalesDataset[[#This Row],[Last_Name]])</f>
        <v>Donna Vega</v>
      </c>
    </row>
    <row r="413" spans="1:17" x14ac:dyDescent="0.25">
      <c r="A413" s="1" t="s">
        <v>1671</v>
      </c>
      <c r="B413" s="2">
        <v>45852</v>
      </c>
      <c r="C413" s="1" t="s">
        <v>1672</v>
      </c>
      <c r="D413" s="1" t="s">
        <v>145</v>
      </c>
      <c r="E413" s="1" t="s">
        <v>1673</v>
      </c>
      <c r="F413" s="1" t="s">
        <v>1674</v>
      </c>
      <c r="G413" s="1" t="s">
        <v>19</v>
      </c>
      <c r="H413" s="1" t="s">
        <v>92</v>
      </c>
      <c r="I413" s="1" t="s">
        <v>21</v>
      </c>
      <c r="J413">
        <v>1</v>
      </c>
      <c r="K413">
        <v>69133</v>
      </c>
      <c r="L413">
        <v>69133</v>
      </c>
      <c r="M413" s="1" t="s">
        <v>63</v>
      </c>
      <c r="N413" s="1" t="s">
        <v>31</v>
      </c>
      <c r="O413" t="str">
        <f>TEXT(SalesDataset[[#This Row],[Order_Date]],"mmm")</f>
        <v>Jul</v>
      </c>
      <c r="P413" s="1" t="str">
        <f>TEXT(SalesDataset[[#This Row],[Order_Date]],"YYYY")</f>
        <v>2025</v>
      </c>
      <c r="Q413" s="1" t="str">
        <f>_xlfn.TEXTJOIN(" ",TRUE,SalesDataset[[#This Row],[First_Name]],SalesDataset[[#This Row],[Last_Name]])</f>
        <v>Lisa Heath</v>
      </c>
    </row>
    <row r="414" spans="1:17" x14ac:dyDescent="0.25">
      <c r="A414" s="1" t="s">
        <v>1675</v>
      </c>
      <c r="B414" s="2">
        <v>45824</v>
      </c>
      <c r="C414" s="1" t="s">
        <v>1151</v>
      </c>
      <c r="D414" s="1" t="s">
        <v>1676</v>
      </c>
      <c r="E414" s="1" t="s">
        <v>218</v>
      </c>
      <c r="F414" s="1" t="s">
        <v>1677</v>
      </c>
      <c r="G414" s="1" t="s">
        <v>19</v>
      </c>
      <c r="H414" s="1" t="s">
        <v>45</v>
      </c>
      <c r="I414" s="1" t="s">
        <v>21</v>
      </c>
      <c r="J414">
        <v>1</v>
      </c>
      <c r="K414">
        <v>29581</v>
      </c>
      <c r="L414">
        <v>29581</v>
      </c>
      <c r="M414" s="1" t="s">
        <v>38</v>
      </c>
      <c r="N414" s="1" t="s">
        <v>46</v>
      </c>
      <c r="O414" t="str">
        <f>TEXT(SalesDataset[[#This Row],[Order_Date]],"mmm")</f>
        <v>Jun</v>
      </c>
      <c r="P414" s="1" t="str">
        <f>TEXT(SalesDataset[[#This Row],[Order_Date]],"YYYY")</f>
        <v>2025</v>
      </c>
      <c r="Q414" s="1" t="str">
        <f>_xlfn.TEXTJOIN(" ",TRUE,SalesDataset[[#This Row],[First_Name]],SalesDataset[[#This Row],[Last_Name]])</f>
        <v>Wendy Rosario MD</v>
      </c>
    </row>
    <row r="415" spans="1:17" x14ac:dyDescent="0.25">
      <c r="A415" s="1" t="s">
        <v>1678</v>
      </c>
      <c r="B415" s="2">
        <v>45901</v>
      </c>
      <c r="C415" s="1" t="s">
        <v>1679</v>
      </c>
      <c r="D415" s="1" t="s">
        <v>1448</v>
      </c>
      <c r="E415" s="1" t="s">
        <v>1581</v>
      </c>
      <c r="F415" s="1" t="s">
        <v>1680</v>
      </c>
      <c r="G415" s="1" t="s">
        <v>44</v>
      </c>
      <c r="H415" s="1" t="s">
        <v>92</v>
      </c>
      <c r="I415" s="1" t="s">
        <v>21</v>
      </c>
      <c r="J415">
        <v>3</v>
      </c>
      <c r="K415">
        <v>27377</v>
      </c>
      <c r="L415">
        <v>82131</v>
      </c>
      <c r="M415" s="1" t="s">
        <v>86</v>
      </c>
      <c r="N415" s="1" t="s">
        <v>46</v>
      </c>
      <c r="O415" t="str">
        <f>TEXT(SalesDataset[[#This Row],[Order_Date]],"mmm")</f>
        <v>Sep</v>
      </c>
      <c r="P415" s="1" t="str">
        <f>TEXT(SalesDataset[[#This Row],[Order_Date]],"YYYY")</f>
        <v>2025</v>
      </c>
      <c r="Q415" s="1" t="str">
        <f>_xlfn.TEXTJOIN(" ",TRUE,SalesDataset[[#This Row],[First_Name]],SalesDataset[[#This Row],[Last_Name]])</f>
        <v>Jeremy Boyd</v>
      </c>
    </row>
    <row r="416" spans="1:17" x14ac:dyDescent="0.25">
      <c r="A416" s="1" t="s">
        <v>1681</v>
      </c>
      <c r="B416" s="2">
        <v>46058</v>
      </c>
      <c r="C416" s="1" t="s">
        <v>1682</v>
      </c>
      <c r="D416" s="1" t="s">
        <v>269</v>
      </c>
      <c r="E416" s="1" t="s">
        <v>1683</v>
      </c>
      <c r="F416" s="1" t="s">
        <v>1684</v>
      </c>
      <c r="G416" s="1" t="s">
        <v>29</v>
      </c>
      <c r="H416" s="1" t="s">
        <v>80</v>
      </c>
      <c r="I416" s="1" t="s">
        <v>21</v>
      </c>
      <c r="J416">
        <v>5</v>
      </c>
      <c r="K416">
        <v>50025</v>
      </c>
      <c r="L416">
        <v>250125</v>
      </c>
      <c r="M416" s="1" t="s">
        <v>86</v>
      </c>
      <c r="N416" s="1" t="s">
        <v>31</v>
      </c>
      <c r="O416" t="str">
        <f>TEXT(SalesDataset[[#This Row],[Order_Date]],"mmm")</f>
        <v>Feb</v>
      </c>
      <c r="P416" s="1" t="str">
        <f>TEXT(SalesDataset[[#This Row],[Order_Date]],"YYYY")</f>
        <v>2026</v>
      </c>
      <c r="Q416" s="1" t="str">
        <f>_xlfn.TEXTJOIN(" ",TRUE,SalesDataset[[#This Row],[First_Name]],SalesDataset[[#This Row],[Last_Name]])</f>
        <v>Megan Foster</v>
      </c>
    </row>
    <row r="417" spans="1:17" x14ac:dyDescent="0.25">
      <c r="A417" s="1" t="s">
        <v>1685</v>
      </c>
      <c r="B417" s="2">
        <v>46129</v>
      </c>
      <c r="C417" s="1" t="s">
        <v>1686</v>
      </c>
      <c r="D417" s="1" t="s">
        <v>378</v>
      </c>
      <c r="E417" s="1" t="s">
        <v>1687</v>
      </c>
      <c r="F417" s="1" t="s">
        <v>1688</v>
      </c>
      <c r="G417" s="1" t="s">
        <v>19</v>
      </c>
      <c r="H417" s="1" t="s">
        <v>92</v>
      </c>
      <c r="I417" s="1" t="s">
        <v>21</v>
      </c>
      <c r="J417">
        <v>4</v>
      </c>
      <c r="K417">
        <v>23825</v>
      </c>
      <c r="L417">
        <v>95300</v>
      </c>
      <c r="M417" s="1" t="s">
        <v>22</v>
      </c>
      <c r="N417" s="1" t="s">
        <v>46</v>
      </c>
      <c r="O417" t="str">
        <f>TEXT(SalesDataset[[#This Row],[Order_Date]],"mmm")</f>
        <v>Apr</v>
      </c>
      <c r="P417" s="1" t="str">
        <f>TEXT(SalesDataset[[#This Row],[Order_Date]],"YYYY")</f>
        <v>2026</v>
      </c>
      <c r="Q417" s="1" t="str">
        <f>_xlfn.TEXTJOIN(" ",TRUE,SalesDataset[[#This Row],[First_Name]],SalesDataset[[#This Row],[Last_Name]])</f>
        <v>Brian Spencer</v>
      </c>
    </row>
    <row r="418" spans="1:17" x14ac:dyDescent="0.25">
      <c r="A418" s="1" t="s">
        <v>1689</v>
      </c>
      <c r="B418" s="2">
        <v>45871</v>
      </c>
      <c r="C418" s="1" t="s">
        <v>1690</v>
      </c>
      <c r="D418" s="1" t="s">
        <v>1691</v>
      </c>
      <c r="E418" s="1" t="s">
        <v>971</v>
      </c>
      <c r="F418" s="1" t="s">
        <v>1692</v>
      </c>
      <c r="G418" s="1" t="s">
        <v>102</v>
      </c>
      <c r="H418" s="1" t="s">
        <v>37</v>
      </c>
      <c r="I418" s="1" t="s">
        <v>21</v>
      </c>
      <c r="J418">
        <v>5</v>
      </c>
      <c r="K418">
        <v>56938</v>
      </c>
      <c r="L418">
        <v>284690</v>
      </c>
      <c r="M418" s="1" t="s">
        <v>22</v>
      </c>
      <c r="N418" s="1" t="s">
        <v>46</v>
      </c>
      <c r="O418" t="str">
        <f>TEXT(SalesDataset[[#This Row],[Order_Date]],"mmm")</f>
        <v>Aug</v>
      </c>
      <c r="P418" s="1" t="str">
        <f>TEXT(SalesDataset[[#This Row],[Order_Date]],"YYYY")</f>
        <v>2025</v>
      </c>
      <c r="Q418" s="1" t="str">
        <f>_xlfn.TEXTJOIN(" ",TRUE,SalesDataset[[#This Row],[First_Name]],SalesDataset[[#This Row],[Last_Name]])</f>
        <v>Brenda Gibson</v>
      </c>
    </row>
    <row r="419" spans="1:17" x14ac:dyDescent="0.25">
      <c r="A419" s="1" t="s">
        <v>1693</v>
      </c>
      <c r="B419" s="2">
        <v>46095</v>
      </c>
      <c r="C419" s="1" t="s">
        <v>1694</v>
      </c>
      <c r="D419" s="1" t="s">
        <v>1695</v>
      </c>
      <c r="E419" s="1" t="s">
        <v>1076</v>
      </c>
      <c r="F419" s="1" t="s">
        <v>1696</v>
      </c>
      <c r="G419" s="1" t="s">
        <v>19</v>
      </c>
      <c r="H419" s="1" t="s">
        <v>92</v>
      </c>
      <c r="I419" s="1" t="s">
        <v>21</v>
      </c>
      <c r="J419">
        <v>4</v>
      </c>
      <c r="K419">
        <v>58041</v>
      </c>
      <c r="L419">
        <v>232164</v>
      </c>
      <c r="M419" s="1" t="s">
        <v>74</v>
      </c>
      <c r="N419" s="1" t="s">
        <v>23</v>
      </c>
      <c r="O419" t="str">
        <f>TEXT(SalesDataset[[#This Row],[Order_Date]],"mmm")</f>
        <v>Mar</v>
      </c>
      <c r="P419" s="1" t="str">
        <f>TEXT(SalesDataset[[#This Row],[Order_Date]],"YYYY")</f>
        <v>2026</v>
      </c>
      <c r="Q419" s="1" t="str">
        <f>_xlfn.TEXTJOIN(" ",TRUE,SalesDataset[[#This Row],[First_Name]],SalesDataset[[#This Row],[Last_Name]])</f>
        <v>Holly Harvey</v>
      </c>
    </row>
    <row r="420" spans="1:17" x14ac:dyDescent="0.25">
      <c r="A420" s="1" t="s">
        <v>1697</v>
      </c>
      <c r="B420" s="2">
        <v>45803</v>
      </c>
      <c r="C420" s="1" t="s">
        <v>1698</v>
      </c>
      <c r="D420" s="1" t="s">
        <v>437</v>
      </c>
      <c r="E420" s="1" t="s">
        <v>788</v>
      </c>
      <c r="F420" s="1" t="s">
        <v>1699</v>
      </c>
      <c r="G420" s="1" t="s">
        <v>44</v>
      </c>
      <c r="H420" s="1" t="s">
        <v>20</v>
      </c>
      <c r="I420" s="1" t="s">
        <v>21</v>
      </c>
      <c r="J420">
        <v>3</v>
      </c>
      <c r="K420">
        <v>3053</v>
      </c>
      <c r="L420">
        <v>9159</v>
      </c>
      <c r="M420" s="1" t="s">
        <v>22</v>
      </c>
      <c r="N420" s="1" t="s">
        <v>23</v>
      </c>
      <c r="O420" t="str">
        <f>TEXT(SalesDataset[[#This Row],[Order_Date]],"mmm")</f>
        <v>May</v>
      </c>
      <c r="P420" s="1" t="str">
        <f>TEXT(SalesDataset[[#This Row],[Order_Date]],"YYYY")</f>
        <v>2025</v>
      </c>
      <c r="Q420" s="1" t="str">
        <f>_xlfn.TEXTJOIN(" ",TRUE,SalesDataset[[#This Row],[First_Name]],SalesDataset[[#This Row],[Last_Name]])</f>
        <v>Brandon Valenzuela</v>
      </c>
    </row>
    <row r="421" spans="1:17" x14ac:dyDescent="0.25">
      <c r="A421" s="1" t="s">
        <v>1700</v>
      </c>
      <c r="B421" s="2">
        <v>46020</v>
      </c>
      <c r="C421" s="1" t="s">
        <v>525</v>
      </c>
      <c r="D421" s="1" t="s">
        <v>1176</v>
      </c>
      <c r="E421" s="1" t="s">
        <v>55</v>
      </c>
      <c r="F421" s="1" t="s">
        <v>1701</v>
      </c>
      <c r="G421" s="1" t="s">
        <v>29</v>
      </c>
      <c r="H421" s="1" t="s">
        <v>80</v>
      </c>
      <c r="I421" s="1" t="s">
        <v>21</v>
      </c>
      <c r="J421">
        <v>4</v>
      </c>
      <c r="K421">
        <v>47948</v>
      </c>
      <c r="L421">
        <v>191792</v>
      </c>
      <c r="M421" s="1" t="s">
        <v>63</v>
      </c>
      <c r="N421" s="1" t="s">
        <v>23</v>
      </c>
      <c r="O421" t="str">
        <f>TEXT(SalesDataset[[#This Row],[Order_Date]],"mmm")</f>
        <v>Dec</v>
      </c>
      <c r="P421" s="1" t="str">
        <f>TEXT(SalesDataset[[#This Row],[Order_Date]],"YYYY")</f>
        <v>2025</v>
      </c>
      <c r="Q421" s="1" t="str">
        <f>_xlfn.TEXTJOIN(" ",TRUE,SalesDataset[[#This Row],[First_Name]],SalesDataset[[#This Row],[Last_Name]])</f>
        <v>Jordan Miller</v>
      </c>
    </row>
    <row r="422" spans="1:17" x14ac:dyDescent="0.25">
      <c r="A422" s="1" t="s">
        <v>1702</v>
      </c>
      <c r="B422" s="2">
        <v>46062</v>
      </c>
      <c r="C422" s="1" t="s">
        <v>1703</v>
      </c>
      <c r="D422" s="1" t="s">
        <v>59</v>
      </c>
      <c r="E422" s="1" t="s">
        <v>1350</v>
      </c>
      <c r="F422" s="1" t="s">
        <v>1704</v>
      </c>
      <c r="G422" s="1" t="s">
        <v>29</v>
      </c>
      <c r="H422" s="1" t="s">
        <v>45</v>
      </c>
      <c r="I422" s="1" t="s">
        <v>21</v>
      </c>
      <c r="J422">
        <v>3</v>
      </c>
      <c r="K422">
        <v>47831</v>
      </c>
      <c r="L422">
        <v>143493</v>
      </c>
      <c r="M422" s="1" t="s">
        <v>86</v>
      </c>
      <c r="N422" s="1" t="s">
        <v>46</v>
      </c>
      <c r="O422" t="str">
        <f>TEXT(SalesDataset[[#This Row],[Order_Date]],"mmm")</f>
        <v>Feb</v>
      </c>
      <c r="P422" s="1" t="str">
        <f>TEXT(SalesDataset[[#This Row],[Order_Date]],"YYYY")</f>
        <v>2026</v>
      </c>
      <c r="Q422" s="1" t="str">
        <f>_xlfn.TEXTJOIN(" ",TRUE,SalesDataset[[#This Row],[First_Name]],SalesDataset[[#This Row],[Last_Name]])</f>
        <v>Jason Stanley</v>
      </c>
    </row>
    <row r="423" spans="1:17" x14ac:dyDescent="0.25">
      <c r="A423" s="1" t="s">
        <v>1705</v>
      </c>
      <c r="B423" s="2">
        <v>45837</v>
      </c>
      <c r="C423" s="1" t="s">
        <v>1706</v>
      </c>
      <c r="D423" s="1" t="s">
        <v>983</v>
      </c>
      <c r="E423" s="1" t="s">
        <v>600</v>
      </c>
      <c r="F423" s="1" t="s">
        <v>1707</v>
      </c>
      <c r="G423" s="1" t="s">
        <v>102</v>
      </c>
      <c r="H423" s="1" t="s">
        <v>30</v>
      </c>
      <c r="I423" s="1" t="s">
        <v>21</v>
      </c>
      <c r="J423">
        <v>3</v>
      </c>
      <c r="K423">
        <v>60889</v>
      </c>
      <c r="L423">
        <v>182667</v>
      </c>
      <c r="M423" s="1" t="s">
        <v>22</v>
      </c>
      <c r="N423" s="1" t="s">
        <v>31</v>
      </c>
      <c r="O423" t="str">
        <f>TEXT(SalesDataset[[#This Row],[Order_Date]],"mmm")</f>
        <v>Jun</v>
      </c>
      <c r="P423" s="1" t="str">
        <f>TEXT(SalesDataset[[#This Row],[Order_Date]],"YYYY")</f>
        <v>2025</v>
      </c>
      <c r="Q423" s="1" t="str">
        <f>_xlfn.TEXTJOIN(" ",TRUE,SalesDataset[[#This Row],[First_Name]],SalesDataset[[#This Row],[Last_Name]])</f>
        <v>Laura Romero</v>
      </c>
    </row>
    <row r="424" spans="1:17" x14ac:dyDescent="0.25">
      <c r="A424" s="1" t="s">
        <v>1708</v>
      </c>
      <c r="B424" s="2">
        <v>46118</v>
      </c>
      <c r="C424" s="1" t="s">
        <v>956</v>
      </c>
      <c r="D424" s="1" t="s">
        <v>1709</v>
      </c>
      <c r="E424" s="1" t="s">
        <v>803</v>
      </c>
      <c r="F424" s="1" t="s">
        <v>1710</v>
      </c>
      <c r="G424" s="1" t="s">
        <v>19</v>
      </c>
      <c r="H424" s="1" t="s">
        <v>45</v>
      </c>
      <c r="I424" s="1" t="s">
        <v>21</v>
      </c>
      <c r="J424">
        <v>3</v>
      </c>
      <c r="K424">
        <v>47497</v>
      </c>
      <c r="L424">
        <v>142491</v>
      </c>
      <c r="M424" s="1" t="s">
        <v>38</v>
      </c>
      <c r="N424" s="1" t="s">
        <v>46</v>
      </c>
      <c r="O424" t="str">
        <f>TEXT(SalesDataset[[#This Row],[Order_Date]],"mmm")</f>
        <v>Apr</v>
      </c>
      <c r="P424" s="1" t="str">
        <f>TEXT(SalesDataset[[#This Row],[Order_Date]],"YYYY")</f>
        <v>2026</v>
      </c>
      <c r="Q424" s="1" t="str">
        <f>_xlfn.TEXTJOIN(" ",TRUE,SalesDataset[[#This Row],[First_Name]],SalesDataset[[#This Row],[Last_Name]])</f>
        <v>Nancy Perez</v>
      </c>
    </row>
    <row r="425" spans="1:17" x14ac:dyDescent="0.25">
      <c r="A425" s="1" t="s">
        <v>1711</v>
      </c>
      <c r="B425" s="2">
        <v>45811</v>
      </c>
      <c r="C425" s="1" t="s">
        <v>1712</v>
      </c>
      <c r="D425" s="1" t="s">
        <v>1713</v>
      </c>
      <c r="E425" s="1" t="s">
        <v>1714</v>
      </c>
      <c r="F425" s="1" t="s">
        <v>1715</v>
      </c>
      <c r="G425" s="1" t="s">
        <v>29</v>
      </c>
      <c r="H425" s="1" t="s">
        <v>62</v>
      </c>
      <c r="I425" s="1" t="s">
        <v>21</v>
      </c>
      <c r="J425">
        <v>1</v>
      </c>
      <c r="K425">
        <v>30498</v>
      </c>
      <c r="L425">
        <v>30498</v>
      </c>
      <c r="M425" s="1" t="s">
        <v>63</v>
      </c>
      <c r="N425" s="1" t="s">
        <v>23</v>
      </c>
      <c r="O425" t="str">
        <f>TEXT(SalesDataset[[#This Row],[Order_Date]],"mmm")</f>
        <v>Jun</v>
      </c>
      <c r="P425" s="1" t="str">
        <f>TEXT(SalesDataset[[#This Row],[Order_Date]],"YYYY")</f>
        <v>2025</v>
      </c>
      <c r="Q425" s="1" t="str">
        <f>_xlfn.TEXTJOIN(" ",TRUE,SalesDataset[[#This Row],[First_Name]],SalesDataset[[#This Row],[Last_Name]])</f>
        <v>Jasmine Sutton</v>
      </c>
    </row>
    <row r="426" spans="1:17" x14ac:dyDescent="0.25">
      <c r="A426" s="1" t="s">
        <v>1716</v>
      </c>
      <c r="B426" s="2">
        <v>45920</v>
      </c>
      <c r="C426" s="1" t="s">
        <v>867</v>
      </c>
      <c r="D426" s="1" t="s">
        <v>1717</v>
      </c>
      <c r="E426" s="1" t="s">
        <v>1346</v>
      </c>
      <c r="F426" s="1" t="s">
        <v>1718</v>
      </c>
      <c r="G426" s="1" t="s">
        <v>44</v>
      </c>
      <c r="H426" s="1" t="s">
        <v>20</v>
      </c>
      <c r="I426" s="1" t="s">
        <v>21</v>
      </c>
      <c r="J426">
        <v>3</v>
      </c>
      <c r="K426">
        <v>32824</v>
      </c>
      <c r="L426">
        <v>98472</v>
      </c>
      <c r="M426" s="1" t="s">
        <v>86</v>
      </c>
      <c r="N426" s="1" t="s">
        <v>23</v>
      </c>
      <c r="O426" t="str">
        <f>TEXT(SalesDataset[[#This Row],[Order_Date]],"mmm")</f>
        <v>Sep</v>
      </c>
      <c r="P426" s="1" t="str">
        <f>TEXT(SalesDataset[[#This Row],[Order_Date]],"YYYY")</f>
        <v>2025</v>
      </c>
      <c r="Q426" s="1" t="str">
        <f>_xlfn.TEXTJOIN(" ",TRUE,SalesDataset[[#This Row],[First_Name]],SalesDataset[[#This Row],[Last_Name]])</f>
        <v>Carrie Clark</v>
      </c>
    </row>
    <row r="427" spans="1:17" x14ac:dyDescent="0.25">
      <c r="A427" s="1" t="s">
        <v>1719</v>
      </c>
      <c r="B427" s="2">
        <v>45916</v>
      </c>
      <c r="C427" s="1" t="s">
        <v>391</v>
      </c>
      <c r="D427" s="1" t="s">
        <v>120</v>
      </c>
      <c r="E427" s="1" t="s">
        <v>339</v>
      </c>
      <c r="F427" s="1" t="s">
        <v>1720</v>
      </c>
      <c r="G427" s="1" t="s">
        <v>29</v>
      </c>
      <c r="H427" s="1" t="s">
        <v>37</v>
      </c>
      <c r="I427" s="1" t="s">
        <v>21</v>
      </c>
      <c r="J427">
        <v>2</v>
      </c>
      <c r="K427">
        <v>1913</v>
      </c>
      <c r="L427">
        <v>3826</v>
      </c>
      <c r="M427" s="1" t="s">
        <v>63</v>
      </c>
      <c r="N427" s="1" t="s">
        <v>46</v>
      </c>
      <c r="O427" t="str">
        <f>TEXT(SalesDataset[[#This Row],[Order_Date]],"mmm")</f>
        <v>Sep</v>
      </c>
      <c r="P427" s="1" t="str">
        <f>TEXT(SalesDataset[[#This Row],[Order_Date]],"YYYY")</f>
        <v>2025</v>
      </c>
      <c r="Q427" s="1" t="str">
        <f>_xlfn.TEXTJOIN(" ",TRUE,SalesDataset[[#This Row],[First_Name]],SalesDataset[[#This Row],[Last_Name]])</f>
        <v>Timothy Sanchez</v>
      </c>
    </row>
    <row r="428" spans="1:17" x14ac:dyDescent="0.25">
      <c r="A428" s="1" t="s">
        <v>1721</v>
      </c>
      <c r="B428" s="2">
        <v>46121</v>
      </c>
      <c r="C428" s="1" t="s">
        <v>1155</v>
      </c>
      <c r="D428" s="1" t="s">
        <v>89</v>
      </c>
      <c r="E428" s="1" t="s">
        <v>1722</v>
      </c>
      <c r="F428" s="1" t="s">
        <v>1723</v>
      </c>
      <c r="G428" s="1" t="s">
        <v>19</v>
      </c>
      <c r="H428" s="1" t="s">
        <v>45</v>
      </c>
      <c r="I428" s="1" t="s">
        <v>21</v>
      </c>
      <c r="J428">
        <v>1</v>
      </c>
      <c r="K428">
        <v>34356</v>
      </c>
      <c r="L428">
        <v>34356</v>
      </c>
      <c r="M428" s="1" t="s">
        <v>86</v>
      </c>
      <c r="N428" s="1" t="s">
        <v>46</v>
      </c>
      <c r="O428" t="str">
        <f>TEXT(SalesDataset[[#This Row],[Order_Date]],"mmm")</f>
        <v>Apr</v>
      </c>
      <c r="P428" s="1" t="str">
        <f>TEXT(SalesDataset[[#This Row],[Order_Date]],"YYYY")</f>
        <v>2026</v>
      </c>
      <c r="Q428" s="1" t="str">
        <f>_xlfn.TEXTJOIN(" ",TRUE,SalesDataset[[#This Row],[First_Name]],SalesDataset[[#This Row],[Last_Name]])</f>
        <v>Amy Barnes</v>
      </c>
    </row>
    <row r="429" spans="1:17" x14ac:dyDescent="0.25">
      <c r="A429" s="1" t="s">
        <v>1724</v>
      </c>
      <c r="B429" s="2">
        <v>45956</v>
      </c>
      <c r="C429" s="1" t="s">
        <v>1572</v>
      </c>
      <c r="D429" s="1" t="s">
        <v>894</v>
      </c>
      <c r="E429" s="1" t="s">
        <v>374</v>
      </c>
      <c r="F429" s="1" t="s">
        <v>1725</v>
      </c>
      <c r="G429" s="1" t="s">
        <v>19</v>
      </c>
      <c r="H429" s="1" t="s">
        <v>45</v>
      </c>
      <c r="I429" s="1" t="s">
        <v>21</v>
      </c>
      <c r="J429">
        <v>3</v>
      </c>
      <c r="K429">
        <v>38816</v>
      </c>
      <c r="L429">
        <v>116448</v>
      </c>
      <c r="M429" s="1" t="s">
        <v>38</v>
      </c>
      <c r="N429" s="1" t="s">
        <v>46</v>
      </c>
      <c r="O429" t="str">
        <f>TEXT(SalesDataset[[#This Row],[Order_Date]],"mmm")</f>
        <v>Oct</v>
      </c>
      <c r="P429" s="1" t="str">
        <f>TEXT(SalesDataset[[#This Row],[Order_Date]],"YYYY")</f>
        <v>2025</v>
      </c>
      <c r="Q429" s="1" t="str">
        <f>_xlfn.TEXTJOIN(" ",TRUE,SalesDataset[[#This Row],[First_Name]],SalesDataset[[#This Row],[Last_Name]])</f>
        <v>Jonathan Martinez</v>
      </c>
    </row>
    <row r="430" spans="1:17" x14ac:dyDescent="0.25">
      <c r="A430" s="1" t="s">
        <v>1726</v>
      </c>
      <c r="B430" s="2">
        <v>45865</v>
      </c>
      <c r="C430" s="1" t="s">
        <v>1727</v>
      </c>
      <c r="D430" s="1" t="s">
        <v>366</v>
      </c>
      <c r="E430" s="1" t="s">
        <v>1728</v>
      </c>
      <c r="F430" s="1" t="s">
        <v>1729</v>
      </c>
      <c r="G430" s="1" t="s">
        <v>19</v>
      </c>
      <c r="H430" s="1" t="s">
        <v>80</v>
      </c>
      <c r="I430" s="1" t="s">
        <v>21</v>
      </c>
      <c r="J430">
        <v>1</v>
      </c>
      <c r="K430">
        <v>64439</v>
      </c>
      <c r="L430">
        <v>64439</v>
      </c>
      <c r="M430" s="1" t="s">
        <v>74</v>
      </c>
      <c r="N430" s="1" t="s">
        <v>46</v>
      </c>
      <c r="O430" t="str">
        <f>TEXT(SalesDataset[[#This Row],[Order_Date]],"mmm")</f>
        <v>Jul</v>
      </c>
      <c r="P430" s="1" t="str">
        <f>TEXT(SalesDataset[[#This Row],[Order_Date]],"YYYY")</f>
        <v>2025</v>
      </c>
      <c r="Q430" s="1" t="str">
        <f>_xlfn.TEXTJOIN(" ",TRUE,SalesDataset[[#This Row],[First_Name]],SalesDataset[[#This Row],[Last_Name]])</f>
        <v>Joseph Li</v>
      </c>
    </row>
    <row r="431" spans="1:17" x14ac:dyDescent="0.25">
      <c r="A431" s="1" t="s">
        <v>1730</v>
      </c>
      <c r="B431" s="2">
        <v>46010</v>
      </c>
      <c r="C431" s="1" t="s">
        <v>1318</v>
      </c>
      <c r="D431" s="1" t="s">
        <v>706</v>
      </c>
      <c r="E431" s="1" t="s">
        <v>388</v>
      </c>
      <c r="F431" s="1" t="s">
        <v>1731</v>
      </c>
      <c r="G431" s="1" t="s">
        <v>44</v>
      </c>
      <c r="H431" s="1" t="s">
        <v>37</v>
      </c>
      <c r="I431" s="1" t="s">
        <v>21</v>
      </c>
      <c r="J431">
        <v>2</v>
      </c>
      <c r="K431">
        <v>49675</v>
      </c>
      <c r="L431">
        <v>99350</v>
      </c>
      <c r="M431" s="1" t="s">
        <v>86</v>
      </c>
      <c r="N431" s="1" t="s">
        <v>31</v>
      </c>
      <c r="O431" t="str">
        <f>TEXT(SalesDataset[[#This Row],[Order_Date]],"mmm")</f>
        <v>Dec</v>
      </c>
      <c r="P431" s="1" t="str">
        <f>TEXT(SalesDataset[[#This Row],[Order_Date]],"YYYY")</f>
        <v>2025</v>
      </c>
      <c r="Q431" s="1" t="str">
        <f>_xlfn.TEXTJOIN(" ",TRUE,SalesDataset[[#This Row],[First_Name]],SalesDataset[[#This Row],[Last_Name]])</f>
        <v>Michelle Lewis</v>
      </c>
    </row>
    <row r="432" spans="1:17" x14ac:dyDescent="0.25">
      <c r="A432" s="1" t="s">
        <v>1732</v>
      </c>
      <c r="B432" s="2">
        <v>45895</v>
      </c>
      <c r="C432" s="1" t="s">
        <v>1733</v>
      </c>
      <c r="D432" s="1" t="s">
        <v>666</v>
      </c>
      <c r="E432" s="1" t="s">
        <v>1734</v>
      </c>
      <c r="F432" s="1" t="s">
        <v>1735</v>
      </c>
      <c r="G432" s="1" t="s">
        <v>102</v>
      </c>
      <c r="H432" s="1" t="s">
        <v>80</v>
      </c>
      <c r="I432" s="1" t="s">
        <v>21</v>
      </c>
      <c r="J432">
        <v>2</v>
      </c>
      <c r="K432">
        <v>8212</v>
      </c>
      <c r="L432">
        <v>16424</v>
      </c>
      <c r="M432" s="1" t="s">
        <v>86</v>
      </c>
      <c r="N432" s="1" t="s">
        <v>46</v>
      </c>
      <c r="O432" t="str">
        <f>TEXT(SalesDataset[[#This Row],[Order_Date]],"mmm")</f>
        <v>Aug</v>
      </c>
      <c r="P432" s="1" t="str">
        <f>TEXT(SalesDataset[[#This Row],[Order_Date]],"YYYY")</f>
        <v>2025</v>
      </c>
      <c r="Q432" s="1" t="str">
        <f>_xlfn.TEXTJOIN(" ",TRUE,SalesDataset[[#This Row],[First_Name]],SalesDataset[[#This Row],[Last_Name]])</f>
        <v>Brittany Valencia</v>
      </c>
    </row>
    <row r="433" spans="1:17" x14ac:dyDescent="0.25">
      <c r="A433" s="1" t="s">
        <v>1736</v>
      </c>
      <c r="B433" s="2">
        <v>45788</v>
      </c>
      <c r="C433" s="1" t="s">
        <v>268</v>
      </c>
      <c r="D433" s="1" t="s">
        <v>77</v>
      </c>
      <c r="E433" s="1" t="s">
        <v>1737</v>
      </c>
      <c r="F433" s="1" t="s">
        <v>1738</v>
      </c>
      <c r="G433" s="1" t="s">
        <v>19</v>
      </c>
      <c r="H433" s="1" t="s">
        <v>37</v>
      </c>
      <c r="I433" s="1" t="s">
        <v>21</v>
      </c>
      <c r="J433">
        <v>3</v>
      </c>
      <c r="K433">
        <v>22398</v>
      </c>
      <c r="L433">
        <v>67194</v>
      </c>
      <c r="M433" s="1" t="s">
        <v>86</v>
      </c>
      <c r="N433" s="1" t="s">
        <v>46</v>
      </c>
      <c r="O433" t="str">
        <f>TEXT(SalesDataset[[#This Row],[Order_Date]],"mmm")</f>
        <v>May</v>
      </c>
      <c r="P433" s="1" t="str">
        <f>TEXT(SalesDataset[[#This Row],[Order_Date]],"YYYY")</f>
        <v>2025</v>
      </c>
      <c r="Q433" s="1" t="str">
        <f>_xlfn.TEXTJOIN(" ",TRUE,SalesDataset[[#This Row],[First_Name]],SalesDataset[[#This Row],[Last_Name]])</f>
        <v>Mark Cabrera</v>
      </c>
    </row>
    <row r="434" spans="1:17" x14ac:dyDescent="0.25">
      <c r="A434" s="1" t="s">
        <v>1739</v>
      </c>
      <c r="B434" s="2">
        <v>45868</v>
      </c>
      <c r="C434" s="1" t="s">
        <v>1740</v>
      </c>
      <c r="D434" s="1" t="s">
        <v>327</v>
      </c>
      <c r="E434" s="1" t="s">
        <v>540</v>
      </c>
      <c r="F434" s="1" t="s">
        <v>1741</v>
      </c>
      <c r="G434" s="1" t="s">
        <v>102</v>
      </c>
      <c r="H434" s="1" t="s">
        <v>30</v>
      </c>
      <c r="I434" s="1" t="s">
        <v>21</v>
      </c>
      <c r="J434">
        <v>3</v>
      </c>
      <c r="K434">
        <v>14792</v>
      </c>
      <c r="L434">
        <v>44376</v>
      </c>
      <c r="M434" s="1" t="s">
        <v>38</v>
      </c>
      <c r="N434" s="1" t="s">
        <v>31</v>
      </c>
      <c r="O434" t="str">
        <f>TEXT(SalesDataset[[#This Row],[Order_Date]],"mmm")</f>
        <v>Jul</v>
      </c>
      <c r="P434" s="1" t="str">
        <f>TEXT(SalesDataset[[#This Row],[Order_Date]],"YYYY")</f>
        <v>2025</v>
      </c>
      <c r="Q434" s="1" t="str">
        <f>_xlfn.TEXTJOIN(" ",TRUE,SalesDataset[[#This Row],[First_Name]],SalesDataset[[#This Row],[Last_Name]])</f>
        <v>Jacob Williams</v>
      </c>
    </row>
    <row r="435" spans="1:17" x14ac:dyDescent="0.25">
      <c r="A435" s="1" t="s">
        <v>1742</v>
      </c>
      <c r="B435" s="2">
        <v>46030</v>
      </c>
      <c r="C435" s="1" t="s">
        <v>347</v>
      </c>
      <c r="D435" s="1" t="s">
        <v>1743</v>
      </c>
      <c r="E435" s="1" t="s">
        <v>1544</v>
      </c>
      <c r="F435" s="1" t="s">
        <v>1744</v>
      </c>
      <c r="G435" s="1" t="s">
        <v>19</v>
      </c>
      <c r="H435" s="1" t="s">
        <v>62</v>
      </c>
      <c r="I435" s="1" t="s">
        <v>21</v>
      </c>
      <c r="J435">
        <v>2</v>
      </c>
      <c r="K435">
        <v>20150</v>
      </c>
      <c r="L435">
        <v>40300</v>
      </c>
      <c r="M435" s="1" t="s">
        <v>74</v>
      </c>
      <c r="N435" s="1" t="s">
        <v>23</v>
      </c>
      <c r="O435" t="str">
        <f>TEXT(SalesDataset[[#This Row],[Order_Date]],"mmm")</f>
        <v>Jan</v>
      </c>
      <c r="P435" s="1" t="str">
        <f>TEXT(SalesDataset[[#This Row],[Order_Date]],"YYYY")</f>
        <v>2026</v>
      </c>
      <c r="Q435" s="1" t="str">
        <f>_xlfn.TEXTJOIN(" ",TRUE,SalesDataset[[#This Row],[First_Name]],SalesDataset[[#This Row],[Last_Name]])</f>
        <v>Joe Curtis</v>
      </c>
    </row>
    <row r="436" spans="1:17" x14ac:dyDescent="0.25">
      <c r="A436" s="1" t="s">
        <v>1745</v>
      </c>
      <c r="B436" s="2">
        <v>45910</v>
      </c>
      <c r="C436" s="1" t="s">
        <v>1746</v>
      </c>
      <c r="D436" s="1" t="s">
        <v>1747</v>
      </c>
      <c r="E436" s="1" t="s">
        <v>562</v>
      </c>
      <c r="F436" s="1" t="s">
        <v>1748</v>
      </c>
      <c r="G436" s="1" t="s">
        <v>19</v>
      </c>
      <c r="H436" s="1" t="s">
        <v>80</v>
      </c>
      <c r="I436" s="1" t="s">
        <v>21</v>
      </c>
      <c r="J436">
        <v>5</v>
      </c>
      <c r="K436">
        <v>60322</v>
      </c>
      <c r="L436">
        <v>301610</v>
      </c>
      <c r="M436" s="1" t="s">
        <v>63</v>
      </c>
      <c r="N436" s="1" t="s">
        <v>46</v>
      </c>
      <c r="O436" t="str">
        <f>TEXT(SalesDataset[[#This Row],[Order_Date]],"mmm")</f>
        <v>Sep</v>
      </c>
      <c r="P436" s="1" t="str">
        <f>TEXT(SalesDataset[[#This Row],[Order_Date]],"YYYY")</f>
        <v>2025</v>
      </c>
      <c r="Q436" s="1" t="str">
        <f>_xlfn.TEXTJOIN(" ",TRUE,SalesDataset[[#This Row],[First_Name]],SalesDataset[[#This Row],[Last_Name]])</f>
        <v>Hannah Sweeney</v>
      </c>
    </row>
    <row r="437" spans="1:17" x14ac:dyDescent="0.25">
      <c r="A437" s="1" t="s">
        <v>1749</v>
      </c>
      <c r="B437" s="2">
        <v>45831</v>
      </c>
      <c r="C437" s="1" t="s">
        <v>1750</v>
      </c>
      <c r="D437" s="1" t="s">
        <v>1402</v>
      </c>
      <c r="E437" s="1" t="s">
        <v>1108</v>
      </c>
      <c r="F437" s="1" t="s">
        <v>1751</v>
      </c>
      <c r="G437" s="1" t="s">
        <v>29</v>
      </c>
      <c r="H437" s="1" t="s">
        <v>45</v>
      </c>
      <c r="I437" s="1" t="s">
        <v>21</v>
      </c>
      <c r="J437">
        <v>4</v>
      </c>
      <c r="K437">
        <v>4056</v>
      </c>
      <c r="L437">
        <v>16224</v>
      </c>
      <c r="M437" s="1" t="s">
        <v>22</v>
      </c>
      <c r="N437" s="1" t="s">
        <v>46</v>
      </c>
      <c r="O437" t="str">
        <f>TEXT(SalesDataset[[#This Row],[Order_Date]],"mmm")</f>
        <v>Jun</v>
      </c>
      <c r="P437" s="1" t="str">
        <f>TEXT(SalesDataset[[#This Row],[Order_Date]],"YYYY")</f>
        <v>2025</v>
      </c>
      <c r="Q437" s="1" t="str">
        <f>_xlfn.TEXTJOIN(" ",TRUE,SalesDataset[[#This Row],[First_Name]],SalesDataset[[#This Row],[Last_Name]])</f>
        <v>Laurie Young</v>
      </c>
    </row>
    <row r="438" spans="1:17" x14ac:dyDescent="0.25">
      <c r="A438" s="1" t="s">
        <v>1752</v>
      </c>
      <c r="B438" s="2">
        <v>46039</v>
      </c>
      <c r="C438" s="1" t="s">
        <v>1753</v>
      </c>
      <c r="D438" s="1" t="s">
        <v>548</v>
      </c>
      <c r="E438" s="1" t="s">
        <v>1754</v>
      </c>
      <c r="F438" s="1" t="s">
        <v>1755</v>
      </c>
      <c r="G438" s="1" t="s">
        <v>29</v>
      </c>
      <c r="H438" s="1" t="s">
        <v>20</v>
      </c>
      <c r="I438" s="1" t="s">
        <v>21</v>
      </c>
      <c r="J438">
        <v>1</v>
      </c>
      <c r="K438">
        <v>30377</v>
      </c>
      <c r="L438">
        <v>30377</v>
      </c>
      <c r="M438" s="1" t="s">
        <v>22</v>
      </c>
      <c r="N438" s="1" t="s">
        <v>23</v>
      </c>
      <c r="O438" t="str">
        <f>TEXT(SalesDataset[[#This Row],[Order_Date]],"mmm")</f>
        <v>Jan</v>
      </c>
      <c r="P438" s="1" t="str">
        <f>TEXT(SalesDataset[[#This Row],[Order_Date]],"YYYY")</f>
        <v>2026</v>
      </c>
      <c r="Q438" s="1" t="str">
        <f>_xlfn.TEXTJOIN(" ",TRUE,SalesDataset[[#This Row],[First_Name]],SalesDataset[[#This Row],[Last_Name]])</f>
        <v>James Parker</v>
      </c>
    </row>
    <row r="439" spans="1:17" x14ac:dyDescent="0.25">
      <c r="A439" s="1" t="s">
        <v>1756</v>
      </c>
      <c r="B439" s="2">
        <v>46076</v>
      </c>
      <c r="C439" s="1" t="s">
        <v>1757</v>
      </c>
      <c r="D439" s="1" t="s">
        <v>561</v>
      </c>
      <c r="E439" s="1" t="s">
        <v>1758</v>
      </c>
      <c r="F439" s="1" t="s">
        <v>1759</v>
      </c>
      <c r="G439" s="1" t="s">
        <v>102</v>
      </c>
      <c r="H439" s="1" t="s">
        <v>20</v>
      </c>
      <c r="I439" s="1" t="s">
        <v>21</v>
      </c>
      <c r="J439">
        <v>2</v>
      </c>
      <c r="K439">
        <v>44387</v>
      </c>
      <c r="L439">
        <v>88774</v>
      </c>
      <c r="M439" s="1" t="s">
        <v>22</v>
      </c>
      <c r="N439" s="1" t="s">
        <v>31</v>
      </c>
      <c r="O439" t="str">
        <f>TEXT(SalesDataset[[#This Row],[Order_Date]],"mmm")</f>
        <v>Feb</v>
      </c>
      <c r="P439" s="1" t="str">
        <f>TEXT(SalesDataset[[#This Row],[Order_Date]],"YYYY")</f>
        <v>2026</v>
      </c>
      <c r="Q439" s="1" t="str">
        <f>_xlfn.TEXTJOIN(" ",TRUE,SalesDataset[[#This Row],[First_Name]],SalesDataset[[#This Row],[Last_Name]])</f>
        <v>Mary Schmidt</v>
      </c>
    </row>
    <row r="440" spans="1:17" x14ac:dyDescent="0.25">
      <c r="A440" s="1" t="s">
        <v>1760</v>
      </c>
      <c r="B440" s="2">
        <v>45812</v>
      </c>
      <c r="C440" s="1" t="s">
        <v>1761</v>
      </c>
      <c r="D440" s="1" t="s">
        <v>879</v>
      </c>
      <c r="E440" s="1" t="s">
        <v>228</v>
      </c>
      <c r="F440" s="1" t="s">
        <v>1762</v>
      </c>
      <c r="G440" s="1" t="s">
        <v>19</v>
      </c>
      <c r="H440" s="1" t="s">
        <v>20</v>
      </c>
      <c r="I440" s="1" t="s">
        <v>21</v>
      </c>
      <c r="J440">
        <v>5</v>
      </c>
      <c r="K440">
        <v>54475</v>
      </c>
      <c r="L440">
        <v>272375</v>
      </c>
      <c r="M440" s="1" t="s">
        <v>86</v>
      </c>
      <c r="N440" s="1" t="s">
        <v>46</v>
      </c>
      <c r="O440" t="str">
        <f>TEXT(SalesDataset[[#This Row],[Order_Date]],"mmm")</f>
        <v>Jun</v>
      </c>
      <c r="P440" s="1" t="str">
        <f>TEXT(SalesDataset[[#This Row],[Order_Date]],"YYYY")</f>
        <v>2025</v>
      </c>
      <c r="Q440" s="1" t="str">
        <f>_xlfn.TEXTJOIN(" ",TRUE,SalesDataset[[#This Row],[First_Name]],SalesDataset[[#This Row],[Last_Name]])</f>
        <v>Dawn Anderson</v>
      </c>
    </row>
    <row r="441" spans="1:17" x14ac:dyDescent="0.25">
      <c r="A441" s="1" t="s">
        <v>1763</v>
      </c>
      <c r="B441" s="2">
        <v>46124</v>
      </c>
      <c r="C441" s="1" t="s">
        <v>595</v>
      </c>
      <c r="D441" s="1" t="s">
        <v>273</v>
      </c>
      <c r="E441" s="1" t="s">
        <v>416</v>
      </c>
      <c r="F441" s="1" t="s">
        <v>1764</v>
      </c>
      <c r="G441" s="1" t="s">
        <v>19</v>
      </c>
      <c r="H441" s="1" t="s">
        <v>37</v>
      </c>
      <c r="I441" s="1" t="s">
        <v>21</v>
      </c>
      <c r="J441">
        <v>3</v>
      </c>
      <c r="K441">
        <v>62842</v>
      </c>
      <c r="L441">
        <v>188526</v>
      </c>
      <c r="M441" s="1" t="s">
        <v>63</v>
      </c>
      <c r="N441" s="1" t="s">
        <v>31</v>
      </c>
      <c r="O441" t="str">
        <f>TEXT(SalesDataset[[#This Row],[Order_Date]],"mmm")</f>
        <v>Apr</v>
      </c>
      <c r="P441" s="1" t="str">
        <f>TEXT(SalesDataset[[#This Row],[Order_Date]],"YYYY")</f>
        <v>2026</v>
      </c>
      <c r="Q441" s="1" t="str">
        <f>_xlfn.TEXTJOIN(" ",TRUE,SalesDataset[[#This Row],[First_Name]],SalesDataset[[#This Row],[Last_Name]])</f>
        <v>Robert Garcia</v>
      </c>
    </row>
    <row r="442" spans="1:17" x14ac:dyDescent="0.25">
      <c r="A442" s="1" t="s">
        <v>1765</v>
      </c>
      <c r="B442" s="2">
        <v>46076</v>
      </c>
      <c r="C442" s="1" t="s">
        <v>1766</v>
      </c>
      <c r="D442" s="1" t="s">
        <v>775</v>
      </c>
      <c r="E442" s="1" t="s">
        <v>131</v>
      </c>
      <c r="F442" s="1" t="s">
        <v>1767</v>
      </c>
      <c r="G442" s="1" t="s">
        <v>19</v>
      </c>
      <c r="H442" s="1" t="s">
        <v>45</v>
      </c>
      <c r="I442" s="1" t="s">
        <v>21</v>
      </c>
      <c r="J442">
        <v>1</v>
      </c>
      <c r="K442">
        <v>11627</v>
      </c>
      <c r="L442">
        <v>11627</v>
      </c>
      <c r="M442" s="1" t="s">
        <v>63</v>
      </c>
      <c r="N442" s="1" t="s">
        <v>46</v>
      </c>
      <c r="O442" t="str">
        <f>TEXT(SalesDataset[[#This Row],[Order_Date]],"mmm")</f>
        <v>Feb</v>
      </c>
      <c r="P442" s="1" t="str">
        <f>TEXT(SalesDataset[[#This Row],[Order_Date]],"YYYY")</f>
        <v>2026</v>
      </c>
      <c r="Q442" s="1" t="str">
        <f>_xlfn.TEXTJOIN(" ",TRUE,SalesDataset[[#This Row],[First_Name]],SalesDataset[[#This Row],[Last_Name]])</f>
        <v>Elizabeth Smith</v>
      </c>
    </row>
    <row r="443" spans="1:17" x14ac:dyDescent="0.25">
      <c r="A443" s="1" t="s">
        <v>1768</v>
      </c>
      <c r="B443" s="2">
        <v>45890</v>
      </c>
      <c r="C443" s="1" t="s">
        <v>308</v>
      </c>
      <c r="D443" s="1" t="s">
        <v>281</v>
      </c>
      <c r="E443" s="1" t="s">
        <v>1769</v>
      </c>
      <c r="F443" s="1" t="s">
        <v>1770</v>
      </c>
      <c r="G443" s="1" t="s">
        <v>102</v>
      </c>
      <c r="H443" s="1" t="s">
        <v>80</v>
      </c>
      <c r="I443" s="1" t="s">
        <v>21</v>
      </c>
      <c r="J443">
        <v>1</v>
      </c>
      <c r="K443">
        <v>22357</v>
      </c>
      <c r="L443">
        <v>22357</v>
      </c>
      <c r="M443" s="1" t="s">
        <v>38</v>
      </c>
      <c r="N443" s="1" t="s">
        <v>31</v>
      </c>
      <c r="O443" t="str">
        <f>TEXT(SalesDataset[[#This Row],[Order_Date]],"mmm")</f>
        <v>Aug</v>
      </c>
      <c r="P443" s="1" t="str">
        <f>TEXT(SalesDataset[[#This Row],[Order_Date]],"YYYY")</f>
        <v>2025</v>
      </c>
      <c r="Q443" s="1" t="str">
        <f>_xlfn.TEXTJOIN(" ",TRUE,SalesDataset[[#This Row],[First_Name]],SalesDataset[[#This Row],[Last_Name]])</f>
        <v>Thomas Hurley</v>
      </c>
    </row>
    <row r="444" spans="1:17" x14ac:dyDescent="0.25">
      <c r="A444" s="1" t="s">
        <v>1771</v>
      </c>
      <c r="B444" s="2">
        <v>45809</v>
      </c>
      <c r="C444" s="1" t="s">
        <v>1231</v>
      </c>
      <c r="D444" s="1" t="s">
        <v>724</v>
      </c>
      <c r="E444" s="1" t="s">
        <v>116</v>
      </c>
      <c r="F444" s="1" t="s">
        <v>1772</v>
      </c>
      <c r="G444" s="1" t="s">
        <v>19</v>
      </c>
      <c r="H444" s="1" t="s">
        <v>62</v>
      </c>
      <c r="I444" s="1" t="s">
        <v>21</v>
      </c>
      <c r="J444">
        <v>4</v>
      </c>
      <c r="K444">
        <v>73364</v>
      </c>
      <c r="L444">
        <v>293456</v>
      </c>
      <c r="M444" s="1" t="s">
        <v>22</v>
      </c>
      <c r="N444" s="1" t="s">
        <v>23</v>
      </c>
      <c r="O444" t="str">
        <f>TEXT(SalesDataset[[#This Row],[Order_Date]],"mmm")</f>
        <v>Jun</v>
      </c>
      <c r="P444" s="1" t="str">
        <f>TEXT(SalesDataset[[#This Row],[Order_Date]],"YYYY")</f>
        <v>2025</v>
      </c>
      <c r="Q444" s="1" t="str">
        <f>_xlfn.TEXTJOIN(" ",TRUE,SalesDataset[[#This Row],[First_Name]],SalesDataset[[#This Row],[Last_Name]])</f>
        <v>Douglas Turner</v>
      </c>
    </row>
    <row r="445" spans="1:17" x14ac:dyDescent="0.25">
      <c r="A445" s="1" t="s">
        <v>1773</v>
      </c>
      <c r="B445" s="2">
        <v>45935</v>
      </c>
      <c r="C445" s="1" t="s">
        <v>556</v>
      </c>
      <c r="D445" s="1" t="s">
        <v>1774</v>
      </c>
      <c r="E445" s="1" t="s">
        <v>1775</v>
      </c>
      <c r="F445" s="1" t="s">
        <v>1776</v>
      </c>
      <c r="G445" s="1" t="s">
        <v>44</v>
      </c>
      <c r="H445" s="1" t="s">
        <v>45</v>
      </c>
      <c r="I445" s="1" t="s">
        <v>21</v>
      </c>
      <c r="J445">
        <v>5</v>
      </c>
      <c r="K445">
        <v>37704</v>
      </c>
      <c r="L445">
        <v>188520</v>
      </c>
      <c r="M445" s="1" t="s">
        <v>86</v>
      </c>
      <c r="N445" s="1" t="s">
        <v>46</v>
      </c>
      <c r="O445" t="str">
        <f>TEXT(SalesDataset[[#This Row],[Order_Date]],"mmm")</f>
        <v>Oct</v>
      </c>
      <c r="P445" s="1" t="str">
        <f>TEXT(SalesDataset[[#This Row],[Order_Date]],"YYYY")</f>
        <v>2025</v>
      </c>
      <c r="Q445" s="1" t="str">
        <f>_xlfn.TEXTJOIN(" ",TRUE,SalesDataset[[#This Row],[First_Name]],SalesDataset[[#This Row],[Last_Name]])</f>
        <v>Alicia Silva</v>
      </c>
    </row>
    <row r="446" spans="1:17" x14ac:dyDescent="0.25">
      <c r="A446" s="1" t="s">
        <v>1777</v>
      </c>
      <c r="B446" s="2">
        <v>45800</v>
      </c>
      <c r="C446" s="1" t="s">
        <v>1778</v>
      </c>
      <c r="D446" s="1" t="s">
        <v>629</v>
      </c>
      <c r="E446" s="1" t="s">
        <v>1779</v>
      </c>
      <c r="F446" s="1" t="s">
        <v>1780</v>
      </c>
      <c r="G446" s="1" t="s">
        <v>29</v>
      </c>
      <c r="H446" s="1" t="s">
        <v>92</v>
      </c>
      <c r="I446" s="1" t="s">
        <v>21</v>
      </c>
      <c r="J446">
        <v>2</v>
      </c>
      <c r="K446">
        <v>26611</v>
      </c>
      <c r="L446">
        <v>53222</v>
      </c>
      <c r="M446" s="1" t="s">
        <v>74</v>
      </c>
      <c r="N446" s="1" t="s">
        <v>31</v>
      </c>
      <c r="O446" t="str">
        <f>TEXT(SalesDataset[[#This Row],[Order_Date]],"mmm")</f>
        <v>May</v>
      </c>
      <c r="P446" s="1" t="str">
        <f>TEXT(SalesDataset[[#This Row],[Order_Date]],"YYYY")</f>
        <v>2025</v>
      </c>
      <c r="Q446" s="1" t="str">
        <f>_xlfn.TEXTJOIN(" ",TRUE,SalesDataset[[#This Row],[First_Name]],SalesDataset[[#This Row],[Last_Name]])</f>
        <v>Samantha Calhoun</v>
      </c>
    </row>
    <row r="447" spans="1:17" x14ac:dyDescent="0.25">
      <c r="A447" s="1" t="s">
        <v>1781</v>
      </c>
      <c r="B447" s="2">
        <v>45994</v>
      </c>
      <c r="C447" s="1" t="s">
        <v>1223</v>
      </c>
      <c r="D447" s="1" t="s">
        <v>59</v>
      </c>
      <c r="E447" s="1" t="s">
        <v>1782</v>
      </c>
      <c r="F447" s="1" t="s">
        <v>1783</v>
      </c>
      <c r="G447" s="1" t="s">
        <v>29</v>
      </c>
      <c r="H447" s="1" t="s">
        <v>80</v>
      </c>
      <c r="I447" s="1" t="s">
        <v>21</v>
      </c>
      <c r="J447">
        <v>2</v>
      </c>
      <c r="K447">
        <v>22138</v>
      </c>
      <c r="L447">
        <v>44276</v>
      </c>
      <c r="M447" s="1" t="s">
        <v>63</v>
      </c>
      <c r="N447" s="1" t="s">
        <v>46</v>
      </c>
      <c r="O447" t="str">
        <f>TEXT(SalesDataset[[#This Row],[Order_Date]],"mmm")</f>
        <v>Dec</v>
      </c>
      <c r="P447" s="1" t="str">
        <f>TEXT(SalesDataset[[#This Row],[Order_Date]],"YYYY")</f>
        <v>2025</v>
      </c>
      <c r="Q447" s="1" t="str">
        <f>_xlfn.TEXTJOIN(" ",TRUE,SalesDataset[[#This Row],[First_Name]],SalesDataset[[#This Row],[Last_Name]])</f>
        <v>Jason Chapman</v>
      </c>
    </row>
    <row r="448" spans="1:17" x14ac:dyDescent="0.25">
      <c r="A448" s="1" t="s">
        <v>1784</v>
      </c>
      <c r="B448" s="2">
        <v>45966</v>
      </c>
      <c r="C448" s="1" t="s">
        <v>1785</v>
      </c>
      <c r="D448" s="1" t="s">
        <v>855</v>
      </c>
      <c r="E448" s="1" t="s">
        <v>578</v>
      </c>
      <c r="F448" s="1" t="s">
        <v>1786</v>
      </c>
      <c r="G448" s="1" t="s">
        <v>44</v>
      </c>
      <c r="H448" s="1" t="s">
        <v>80</v>
      </c>
      <c r="I448" s="1" t="s">
        <v>21</v>
      </c>
      <c r="J448">
        <v>3</v>
      </c>
      <c r="K448">
        <v>65609</v>
      </c>
      <c r="L448">
        <v>196827</v>
      </c>
      <c r="M448" s="1" t="s">
        <v>74</v>
      </c>
      <c r="N448" s="1" t="s">
        <v>46</v>
      </c>
      <c r="O448" t="str">
        <f>TEXT(SalesDataset[[#This Row],[Order_Date]],"mmm")</f>
        <v>Nov</v>
      </c>
      <c r="P448" s="1" t="str">
        <f>TEXT(SalesDataset[[#This Row],[Order_Date]],"YYYY")</f>
        <v>2025</v>
      </c>
      <c r="Q448" s="1" t="str">
        <f>_xlfn.TEXTJOIN(" ",TRUE,SalesDataset[[#This Row],[First_Name]],SalesDataset[[#This Row],[Last_Name]])</f>
        <v>Steven Lyons</v>
      </c>
    </row>
    <row r="449" spans="1:17" x14ac:dyDescent="0.25">
      <c r="A449" s="1" t="s">
        <v>1787</v>
      </c>
      <c r="B449" s="2">
        <v>45869</v>
      </c>
      <c r="C449" s="1" t="s">
        <v>1788</v>
      </c>
      <c r="D449" s="1" t="s">
        <v>816</v>
      </c>
      <c r="E449" s="1" t="s">
        <v>1789</v>
      </c>
      <c r="F449" s="1" t="s">
        <v>598</v>
      </c>
      <c r="G449" s="1" t="s">
        <v>44</v>
      </c>
      <c r="H449" s="1" t="s">
        <v>92</v>
      </c>
      <c r="I449" s="1" t="s">
        <v>21</v>
      </c>
      <c r="J449">
        <v>1</v>
      </c>
      <c r="K449">
        <v>61128</v>
      </c>
      <c r="L449">
        <v>61128</v>
      </c>
      <c r="M449" s="1" t="s">
        <v>74</v>
      </c>
      <c r="N449" s="1" t="s">
        <v>46</v>
      </c>
      <c r="O449" t="str">
        <f>TEXT(SalesDataset[[#This Row],[Order_Date]],"mmm")</f>
        <v>Jul</v>
      </c>
      <c r="P449" s="1" t="str">
        <f>TEXT(SalesDataset[[#This Row],[Order_Date]],"YYYY")</f>
        <v>2025</v>
      </c>
      <c r="Q449" s="1" t="str">
        <f>_xlfn.TEXTJOIN(" ",TRUE,SalesDataset[[#This Row],[First_Name]],SalesDataset[[#This Row],[Last_Name]])</f>
        <v>Kathy Mccoy</v>
      </c>
    </row>
    <row r="450" spans="1:17" x14ac:dyDescent="0.25">
      <c r="A450" s="1" t="s">
        <v>1790</v>
      </c>
      <c r="B450" s="2">
        <v>45996</v>
      </c>
      <c r="C450" s="1" t="s">
        <v>1268</v>
      </c>
      <c r="D450" s="1" t="s">
        <v>1237</v>
      </c>
      <c r="E450" s="1" t="s">
        <v>1791</v>
      </c>
      <c r="F450" s="1" t="s">
        <v>1792</v>
      </c>
      <c r="G450" s="1" t="s">
        <v>29</v>
      </c>
      <c r="H450" s="1" t="s">
        <v>80</v>
      </c>
      <c r="I450" s="1" t="s">
        <v>21</v>
      </c>
      <c r="J450">
        <v>5</v>
      </c>
      <c r="K450">
        <v>73993</v>
      </c>
      <c r="L450">
        <v>369965</v>
      </c>
      <c r="M450" s="1" t="s">
        <v>63</v>
      </c>
      <c r="N450" s="1" t="s">
        <v>31</v>
      </c>
      <c r="O450" t="str">
        <f>TEXT(SalesDataset[[#This Row],[Order_Date]],"mmm")</f>
        <v>Dec</v>
      </c>
      <c r="P450" s="1" t="str">
        <f>TEXT(SalesDataset[[#This Row],[Order_Date]],"YYYY")</f>
        <v>2025</v>
      </c>
      <c r="Q450" s="1" t="str">
        <f>_xlfn.TEXTJOIN(" ",TRUE,SalesDataset[[#This Row],[First_Name]],SalesDataset[[#This Row],[Last_Name]])</f>
        <v>Michele Carter</v>
      </c>
    </row>
    <row r="451" spans="1:17" x14ac:dyDescent="0.25">
      <c r="A451" s="1" t="s">
        <v>1793</v>
      </c>
      <c r="B451" s="2">
        <v>46082</v>
      </c>
      <c r="C451" s="1" t="s">
        <v>1794</v>
      </c>
      <c r="D451" s="1" t="s">
        <v>1795</v>
      </c>
      <c r="E451" s="1" t="s">
        <v>940</v>
      </c>
      <c r="F451" s="1" t="s">
        <v>1796</v>
      </c>
      <c r="G451" s="1" t="s">
        <v>29</v>
      </c>
      <c r="H451" s="1" t="s">
        <v>20</v>
      </c>
      <c r="I451" s="1" t="s">
        <v>21</v>
      </c>
      <c r="J451">
        <v>1</v>
      </c>
      <c r="K451">
        <v>48263</v>
      </c>
      <c r="L451">
        <v>48263</v>
      </c>
      <c r="M451" s="1" t="s">
        <v>38</v>
      </c>
      <c r="N451" s="1" t="s">
        <v>46</v>
      </c>
      <c r="O451" t="str">
        <f>TEXT(SalesDataset[[#This Row],[Order_Date]],"mmm")</f>
        <v>Mar</v>
      </c>
      <c r="P451" s="1" t="str">
        <f>TEXT(SalesDataset[[#This Row],[Order_Date]],"YYYY")</f>
        <v>2026</v>
      </c>
      <c r="Q451" s="1" t="str">
        <f>_xlfn.TEXTJOIN(" ",TRUE,SalesDataset[[#This Row],[First_Name]],SalesDataset[[#This Row],[Last_Name]])</f>
        <v>Erica Brown</v>
      </c>
    </row>
    <row r="452" spans="1:17" x14ac:dyDescent="0.25">
      <c r="A452" s="1" t="s">
        <v>1797</v>
      </c>
      <c r="B452" s="2">
        <v>45991</v>
      </c>
      <c r="C452" s="1" t="s">
        <v>1074</v>
      </c>
      <c r="D452" s="1" t="s">
        <v>135</v>
      </c>
      <c r="E452" s="1" t="s">
        <v>638</v>
      </c>
      <c r="F452" s="1" t="s">
        <v>1798</v>
      </c>
      <c r="G452" s="1" t="s">
        <v>44</v>
      </c>
      <c r="H452" s="1" t="s">
        <v>92</v>
      </c>
      <c r="I452" s="1" t="s">
        <v>21</v>
      </c>
      <c r="J452">
        <v>1</v>
      </c>
      <c r="K452">
        <v>17938</v>
      </c>
      <c r="L452">
        <v>17938</v>
      </c>
      <c r="M452" s="1" t="s">
        <v>38</v>
      </c>
      <c r="N452" s="1" t="s">
        <v>23</v>
      </c>
      <c r="O452" t="str">
        <f>TEXT(SalesDataset[[#This Row],[Order_Date]],"mmm")</f>
        <v>Nov</v>
      </c>
      <c r="P452" s="1" t="str">
        <f>TEXT(SalesDataset[[#This Row],[Order_Date]],"YYYY")</f>
        <v>2025</v>
      </c>
      <c r="Q452" s="1" t="str">
        <f>_xlfn.TEXTJOIN(" ",TRUE,SalesDataset[[#This Row],[First_Name]],SalesDataset[[#This Row],[Last_Name]])</f>
        <v>Adam Stevenson</v>
      </c>
    </row>
    <row r="453" spans="1:17" x14ac:dyDescent="0.25">
      <c r="A453" s="1" t="s">
        <v>1799</v>
      </c>
      <c r="B453" s="2">
        <v>46140</v>
      </c>
      <c r="C453" s="1" t="s">
        <v>1682</v>
      </c>
      <c r="D453" s="1" t="s">
        <v>305</v>
      </c>
      <c r="E453" s="1" t="s">
        <v>1800</v>
      </c>
      <c r="F453" s="1" t="s">
        <v>1801</v>
      </c>
      <c r="G453" s="1" t="s">
        <v>44</v>
      </c>
      <c r="H453" s="1" t="s">
        <v>92</v>
      </c>
      <c r="I453" s="1" t="s">
        <v>21</v>
      </c>
      <c r="J453">
        <v>1</v>
      </c>
      <c r="K453">
        <v>21773</v>
      </c>
      <c r="L453">
        <v>21773</v>
      </c>
      <c r="M453" s="1" t="s">
        <v>74</v>
      </c>
      <c r="N453" s="1" t="s">
        <v>23</v>
      </c>
      <c r="O453" t="str">
        <f>TEXT(SalesDataset[[#This Row],[Order_Date]],"mmm")</f>
        <v>Apr</v>
      </c>
      <c r="P453" s="1" t="str">
        <f>TEXT(SalesDataset[[#This Row],[Order_Date]],"YYYY")</f>
        <v>2026</v>
      </c>
      <c r="Q453" s="1" t="str">
        <f>_xlfn.TEXTJOIN(" ",TRUE,SalesDataset[[#This Row],[First_Name]],SalesDataset[[#This Row],[Last_Name]])</f>
        <v>Christopher Schroeder</v>
      </c>
    </row>
    <row r="454" spans="1:17" x14ac:dyDescent="0.25">
      <c r="A454" s="1" t="s">
        <v>1802</v>
      </c>
      <c r="B454" s="2">
        <v>45882</v>
      </c>
      <c r="C454" s="1" t="s">
        <v>1803</v>
      </c>
      <c r="D454" s="1" t="s">
        <v>799</v>
      </c>
      <c r="E454" s="1" t="s">
        <v>170</v>
      </c>
      <c r="F454" s="1" t="s">
        <v>1804</v>
      </c>
      <c r="G454" s="1" t="s">
        <v>29</v>
      </c>
      <c r="H454" s="1" t="s">
        <v>62</v>
      </c>
      <c r="I454" s="1" t="s">
        <v>21</v>
      </c>
      <c r="J454">
        <v>1</v>
      </c>
      <c r="K454">
        <v>33831</v>
      </c>
      <c r="L454">
        <v>33831</v>
      </c>
      <c r="M454" s="1" t="s">
        <v>38</v>
      </c>
      <c r="N454" s="1" t="s">
        <v>46</v>
      </c>
      <c r="O454" t="str">
        <f>TEXT(SalesDataset[[#This Row],[Order_Date]],"mmm")</f>
        <v>Aug</v>
      </c>
      <c r="P454" s="1" t="str">
        <f>TEXT(SalesDataset[[#This Row],[Order_Date]],"YYYY")</f>
        <v>2025</v>
      </c>
      <c r="Q454" s="1" t="str">
        <f>_xlfn.TEXTJOIN(" ",TRUE,SalesDataset[[#This Row],[First_Name]],SalesDataset[[#This Row],[Last_Name]])</f>
        <v>Anna Morgan</v>
      </c>
    </row>
    <row r="455" spans="1:17" x14ac:dyDescent="0.25">
      <c r="A455" s="1" t="s">
        <v>1805</v>
      </c>
      <c r="B455" s="2">
        <v>45859</v>
      </c>
      <c r="C455" s="1" t="s">
        <v>1806</v>
      </c>
      <c r="D455" s="1" t="s">
        <v>250</v>
      </c>
      <c r="E455" s="1" t="s">
        <v>1807</v>
      </c>
      <c r="F455" s="1" t="s">
        <v>1808</v>
      </c>
      <c r="G455" s="1" t="s">
        <v>102</v>
      </c>
      <c r="H455" s="1" t="s">
        <v>80</v>
      </c>
      <c r="I455" s="1" t="s">
        <v>21</v>
      </c>
      <c r="J455">
        <v>2</v>
      </c>
      <c r="K455">
        <v>60614</v>
      </c>
      <c r="L455">
        <v>121228</v>
      </c>
      <c r="M455" s="1" t="s">
        <v>74</v>
      </c>
      <c r="N455" s="1" t="s">
        <v>23</v>
      </c>
      <c r="O455" t="str">
        <f>TEXT(SalesDataset[[#This Row],[Order_Date]],"mmm")</f>
        <v>Jul</v>
      </c>
      <c r="P455" s="1" t="str">
        <f>TEXT(SalesDataset[[#This Row],[Order_Date]],"YYYY")</f>
        <v>2025</v>
      </c>
      <c r="Q455" s="1" t="str">
        <f>_xlfn.TEXTJOIN(" ",TRUE,SalesDataset[[#This Row],[First_Name]],SalesDataset[[#This Row],[Last_Name]])</f>
        <v>Katherine King</v>
      </c>
    </row>
    <row r="456" spans="1:17" x14ac:dyDescent="0.25">
      <c r="A456" s="1" t="s">
        <v>1809</v>
      </c>
      <c r="B456" s="2">
        <v>45789</v>
      </c>
      <c r="C456" s="1" t="s">
        <v>1024</v>
      </c>
      <c r="D456" s="1" t="s">
        <v>273</v>
      </c>
      <c r="E456" s="1" t="s">
        <v>1810</v>
      </c>
      <c r="F456" s="1" t="s">
        <v>1811</v>
      </c>
      <c r="G456" s="1" t="s">
        <v>29</v>
      </c>
      <c r="H456" s="1" t="s">
        <v>20</v>
      </c>
      <c r="I456" s="1" t="s">
        <v>21</v>
      </c>
      <c r="J456">
        <v>4</v>
      </c>
      <c r="K456">
        <v>55084</v>
      </c>
      <c r="L456">
        <v>220336</v>
      </c>
      <c r="M456" s="1" t="s">
        <v>63</v>
      </c>
      <c r="N456" s="1" t="s">
        <v>46</v>
      </c>
      <c r="O456" t="str">
        <f>TEXT(SalesDataset[[#This Row],[Order_Date]],"mmm")</f>
        <v>May</v>
      </c>
      <c r="P456" s="1" t="str">
        <f>TEXT(SalesDataset[[#This Row],[Order_Date]],"YYYY")</f>
        <v>2025</v>
      </c>
      <c r="Q456" s="1" t="str">
        <f>_xlfn.TEXTJOIN(" ",TRUE,SalesDataset[[#This Row],[First_Name]],SalesDataset[[#This Row],[Last_Name]])</f>
        <v>Robert Wallace</v>
      </c>
    </row>
    <row r="457" spans="1:17" x14ac:dyDescent="0.25">
      <c r="A457" s="1" t="s">
        <v>1812</v>
      </c>
      <c r="B457" s="2">
        <v>45904</v>
      </c>
      <c r="C457" s="1" t="s">
        <v>1813</v>
      </c>
      <c r="D457" s="1" t="s">
        <v>1709</v>
      </c>
      <c r="E457" s="1" t="s">
        <v>1814</v>
      </c>
      <c r="F457" s="1" t="s">
        <v>1815</v>
      </c>
      <c r="G457" s="1" t="s">
        <v>29</v>
      </c>
      <c r="H457" s="1" t="s">
        <v>92</v>
      </c>
      <c r="I457" s="1" t="s">
        <v>21</v>
      </c>
      <c r="J457">
        <v>1</v>
      </c>
      <c r="K457">
        <v>61042</v>
      </c>
      <c r="L457">
        <v>61042</v>
      </c>
      <c r="M457" s="1" t="s">
        <v>74</v>
      </c>
      <c r="N457" s="1" t="s">
        <v>46</v>
      </c>
      <c r="O457" t="str">
        <f>TEXT(SalesDataset[[#This Row],[Order_Date]],"mmm")</f>
        <v>Sep</v>
      </c>
      <c r="P457" s="1" t="str">
        <f>TEXT(SalesDataset[[#This Row],[Order_Date]],"YYYY")</f>
        <v>2025</v>
      </c>
      <c r="Q457" s="1" t="str">
        <f>_xlfn.TEXTJOIN(" ",TRUE,SalesDataset[[#This Row],[First_Name]],SalesDataset[[#This Row],[Last_Name]])</f>
        <v>Nancy Estrada</v>
      </c>
    </row>
    <row r="458" spans="1:17" x14ac:dyDescent="0.25">
      <c r="A458" s="1" t="s">
        <v>1816</v>
      </c>
      <c r="B458" s="2">
        <v>45989</v>
      </c>
      <c r="C458" s="1" t="s">
        <v>1817</v>
      </c>
      <c r="D458" s="1" t="s">
        <v>1296</v>
      </c>
      <c r="E458" s="1" t="s">
        <v>1818</v>
      </c>
      <c r="F458" s="1" t="s">
        <v>1819</v>
      </c>
      <c r="G458" s="1" t="s">
        <v>44</v>
      </c>
      <c r="H458" s="1" t="s">
        <v>30</v>
      </c>
      <c r="I458" s="1" t="s">
        <v>21</v>
      </c>
      <c r="J458">
        <v>1</v>
      </c>
      <c r="K458">
        <v>28838</v>
      </c>
      <c r="L458">
        <v>28838</v>
      </c>
      <c r="M458" s="1" t="s">
        <v>22</v>
      </c>
      <c r="N458" s="1" t="s">
        <v>31</v>
      </c>
      <c r="O458" t="str">
        <f>TEXT(SalesDataset[[#This Row],[Order_Date]],"mmm")</f>
        <v>Nov</v>
      </c>
      <c r="P458" s="1" t="str">
        <f>TEXT(SalesDataset[[#This Row],[Order_Date]],"YYYY")</f>
        <v>2025</v>
      </c>
      <c r="Q458" s="1" t="str">
        <f>_xlfn.TEXTJOIN(" ",TRUE,SalesDataset[[#This Row],[First_Name]],SalesDataset[[#This Row],[Last_Name]])</f>
        <v>Stephen Browning</v>
      </c>
    </row>
    <row r="459" spans="1:17" x14ac:dyDescent="0.25">
      <c r="A459" s="1" t="s">
        <v>1820</v>
      </c>
      <c r="B459" s="2">
        <v>45869</v>
      </c>
      <c r="C459" s="1" t="s">
        <v>1821</v>
      </c>
      <c r="D459" s="1" t="s">
        <v>1822</v>
      </c>
      <c r="E459" s="1" t="s">
        <v>1108</v>
      </c>
      <c r="F459" s="1" t="s">
        <v>1823</v>
      </c>
      <c r="G459" s="1" t="s">
        <v>19</v>
      </c>
      <c r="H459" s="1" t="s">
        <v>92</v>
      </c>
      <c r="I459" s="1" t="s">
        <v>21</v>
      </c>
      <c r="J459">
        <v>5</v>
      </c>
      <c r="K459">
        <v>41845</v>
      </c>
      <c r="L459">
        <v>209225</v>
      </c>
      <c r="M459" s="1" t="s">
        <v>86</v>
      </c>
      <c r="N459" s="1" t="s">
        <v>31</v>
      </c>
      <c r="O459" t="str">
        <f>TEXT(SalesDataset[[#This Row],[Order_Date]],"mmm")</f>
        <v>Jul</v>
      </c>
      <c r="P459" s="1" t="str">
        <f>TEXT(SalesDataset[[#This Row],[Order_Date]],"YYYY")</f>
        <v>2025</v>
      </c>
      <c r="Q459" s="1" t="str">
        <f>_xlfn.TEXTJOIN(" ",TRUE,SalesDataset[[#This Row],[First_Name]],SalesDataset[[#This Row],[Last_Name]])</f>
        <v>Joel Young</v>
      </c>
    </row>
    <row r="460" spans="1:17" x14ac:dyDescent="0.25">
      <c r="A460" s="1" t="s">
        <v>1824</v>
      </c>
      <c r="B460" s="2">
        <v>45985</v>
      </c>
      <c r="C460" s="1" t="s">
        <v>1825</v>
      </c>
      <c r="D460" s="1" t="s">
        <v>1387</v>
      </c>
      <c r="E460" s="1" t="s">
        <v>1826</v>
      </c>
      <c r="F460" s="1" t="s">
        <v>389</v>
      </c>
      <c r="G460" s="1" t="s">
        <v>44</v>
      </c>
      <c r="H460" s="1" t="s">
        <v>30</v>
      </c>
      <c r="I460" s="1" t="s">
        <v>21</v>
      </c>
      <c r="J460">
        <v>2</v>
      </c>
      <c r="K460">
        <v>11951</v>
      </c>
      <c r="L460">
        <v>23902</v>
      </c>
      <c r="M460" s="1" t="s">
        <v>38</v>
      </c>
      <c r="N460" s="1" t="s">
        <v>23</v>
      </c>
      <c r="O460" t="str">
        <f>TEXT(SalesDataset[[#This Row],[Order_Date]],"mmm")</f>
        <v>Nov</v>
      </c>
      <c r="P460" s="1" t="str">
        <f>TEXT(SalesDataset[[#This Row],[Order_Date]],"YYYY")</f>
        <v>2025</v>
      </c>
      <c r="Q460" s="1" t="str">
        <f>_xlfn.TEXTJOIN(" ",TRUE,SalesDataset[[#This Row],[First_Name]],SalesDataset[[#This Row],[Last_Name]])</f>
        <v>Dana Cuevas</v>
      </c>
    </row>
    <row r="461" spans="1:17" x14ac:dyDescent="0.25">
      <c r="A461" s="1" t="s">
        <v>1827</v>
      </c>
      <c r="B461" s="2">
        <v>46137</v>
      </c>
      <c r="C461" s="1" t="s">
        <v>1828</v>
      </c>
      <c r="D461" s="1" t="s">
        <v>1829</v>
      </c>
      <c r="E461" s="1" t="s">
        <v>540</v>
      </c>
      <c r="F461" s="1" t="s">
        <v>1830</v>
      </c>
      <c r="G461" s="1" t="s">
        <v>102</v>
      </c>
      <c r="H461" s="1" t="s">
        <v>92</v>
      </c>
      <c r="I461" s="1" t="s">
        <v>21</v>
      </c>
      <c r="J461">
        <v>1</v>
      </c>
      <c r="K461">
        <v>38432</v>
      </c>
      <c r="L461">
        <v>38432</v>
      </c>
      <c r="M461" s="1" t="s">
        <v>74</v>
      </c>
      <c r="N461" s="1" t="s">
        <v>23</v>
      </c>
      <c r="O461" t="str">
        <f>TEXT(SalesDataset[[#This Row],[Order_Date]],"mmm")</f>
        <v>Apr</v>
      </c>
      <c r="P461" s="1" t="str">
        <f>TEXT(SalesDataset[[#This Row],[Order_Date]],"YYYY")</f>
        <v>2026</v>
      </c>
      <c r="Q461" s="1" t="str">
        <f>_xlfn.TEXTJOIN(" ",TRUE,SalesDataset[[#This Row],[First_Name]],SalesDataset[[#This Row],[Last_Name]])</f>
        <v>Malik Williams</v>
      </c>
    </row>
    <row r="462" spans="1:17" x14ac:dyDescent="0.25">
      <c r="A462" s="1" t="s">
        <v>1831</v>
      </c>
      <c r="B462" s="2">
        <v>45987</v>
      </c>
      <c r="C462" s="1" t="s">
        <v>1832</v>
      </c>
      <c r="D462" s="1" t="s">
        <v>1075</v>
      </c>
      <c r="E462" s="1" t="s">
        <v>1833</v>
      </c>
      <c r="F462" s="1" t="s">
        <v>1834</v>
      </c>
      <c r="G462" s="1" t="s">
        <v>102</v>
      </c>
      <c r="H462" s="1" t="s">
        <v>62</v>
      </c>
      <c r="I462" s="1" t="s">
        <v>21</v>
      </c>
      <c r="J462">
        <v>5</v>
      </c>
      <c r="K462">
        <v>25026</v>
      </c>
      <c r="L462">
        <v>125130</v>
      </c>
      <c r="M462" s="1" t="s">
        <v>22</v>
      </c>
      <c r="N462" s="1" t="s">
        <v>46</v>
      </c>
      <c r="O462" t="str">
        <f>TEXT(SalesDataset[[#This Row],[Order_Date]],"mmm")</f>
        <v>Nov</v>
      </c>
      <c r="P462" s="1" t="str">
        <f>TEXT(SalesDataset[[#This Row],[Order_Date]],"YYYY")</f>
        <v>2025</v>
      </c>
      <c r="Q462" s="1" t="str">
        <f>_xlfn.TEXTJOIN(" ",TRUE,SalesDataset[[#This Row],[First_Name]],SalesDataset[[#This Row],[Last_Name]])</f>
        <v>Christine Cross</v>
      </c>
    </row>
    <row r="463" spans="1:17" x14ac:dyDescent="0.25">
      <c r="A463" s="1" t="s">
        <v>1835</v>
      </c>
      <c r="B463" s="2">
        <v>45996</v>
      </c>
      <c r="C463" s="1" t="s">
        <v>1836</v>
      </c>
      <c r="D463" s="1" t="s">
        <v>1747</v>
      </c>
      <c r="E463" s="1" t="s">
        <v>908</v>
      </c>
      <c r="F463" s="1" t="s">
        <v>1837</v>
      </c>
      <c r="G463" s="1" t="s">
        <v>44</v>
      </c>
      <c r="H463" s="1" t="s">
        <v>62</v>
      </c>
      <c r="I463" s="1" t="s">
        <v>21</v>
      </c>
      <c r="J463">
        <v>5</v>
      </c>
      <c r="K463">
        <v>62284</v>
      </c>
      <c r="L463">
        <v>311420</v>
      </c>
      <c r="M463" s="1" t="s">
        <v>63</v>
      </c>
      <c r="N463" s="1" t="s">
        <v>46</v>
      </c>
      <c r="O463" t="str">
        <f>TEXT(SalesDataset[[#This Row],[Order_Date]],"mmm")</f>
        <v>Dec</v>
      </c>
      <c r="P463" s="1" t="str">
        <f>TEXT(SalesDataset[[#This Row],[Order_Date]],"YYYY")</f>
        <v>2025</v>
      </c>
      <c r="Q463" s="1" t="str">
        <f>_xlfn.TEXTJOIN(" ",TRUE,SalesDataset[[#This Row],[First_Name]],SalesDataset[[#This Row],[Last_Name]])</f>
        <v>Hannah Flores</v>
      </c>
    </row>
    <row r="464" spans="1:17" x14ac:dyDescent="0.25">
      <c r="A464" s="1" t="s">
        <v>1838</v>
      </c>
      <c r="B464" s="2">
        <v>46031</v>
      </c>
      <c r="C464" s="1" t="s">
        <v>1839</v>
      </c>
      <c r="D464" s="1" t="s">
        <v>255</v>
      </c>
      <c r="E464" s="1" t="s">
        <v>1840</v>
      </c>
      <c r="F464" s="1" t="s">
        <v>1841</v>
      </c>
      <c r="G464" s="1" t="s">
        <v>19</v>
      </c>
      <c r="H464" s="1" t="s">
        <v>80</v>
      </c>
      <c r="I464" s="1" t="s">
        <v>21</v>
      </c>
      <c r="J464">
        <v>4</v>
      </c>
      <c r="K464">
        <v>14486</v>
      </c>
      <c r="L464">
        <v>57944</v>
      </c>
      <c r="M464" s="1" t="s">
        <v>38</v>
      </c>
      <c r="N464" s="1" t="s">
        <v>23</v>
      </c>
      <c r="O464" t="str">
        <f>TEXT(SalesDataset[[#This Row],[Order_Date]],"mmm")</f>
        <v>Jan</v>
      </c>
      <c r="P464" s="1" t="str">
        <f>TEXT(SalesDataset[[#This Row],[Order_Date]],"YYYY")</f>
        <v>2026</v>
      </c>
      <c r="Q464" s="1" t="str">
        <f>_xlfn.TEXTJOIN(" ",TRUE,SalesDataset[[#This Row],[First_Name]],SalesDataset[[#This Row],[Last_Name]])</f>
        <v>Kimberly Carson</v>
      </c>
    </row>
    <row r="465" spans="1:17" x14ac:dyDescent="0.25">
      <c r="A465" s="1" t="s">
        <v>1842</v>
      </c>
      <c r="B465" s="2">
        <v>45783</v>
      </c>
      <c r="C465" s="1" t="s">
        <v>1843</v>
      </c>
      <c r="D465" s="1" t="s">
        <v>924</v>
      </c>
      <c r="E465" s="1" t="s">
        <v>1844</v>
      </c>
      <c r="F465" s="1" t="s">
        <v>1845</v>
      </c>
      <c r="G465" s="1" t="s">
        <v>29</v>
      </c>
      <c r="H465" s="1" t="s">
        <v>80</v>
      </c>
      <c r="I465" s="1" t="s">
        <v>21</v>
      </c>
      <c r="J465">
        <v>4</v>
      </c>
      <c r="K465">
        <v>39820</v>
      </c>
      <c r="L465">
        <v>159280</v>
      </c>
      <c r="M465" s="1" t="s">
        <v>63</v>
      </c>
      <c r="N465" s="1" t="s">
        <v>31</v>
      </c>
      <c r="O465" t="str">
        <f>TEXT(SalesDataset[[#This Row],[Order_Date]],"mmm")</f>
        <v>May</v>
      </c>
      <c r="P465" s="1" t="str">
        <f>TEXT(SalesDataset[[#This Row],[Order_Date]],"YYYY")</f>
        <v>2025</v>
      </c>
      <c r="Q465" s="1" t="str">
        <f>_xlfn.TEXTJOIN(" ",TRUE,SalesDataset[[#This Row],[First_Name]],SalesDataset[[#This Row],[Last_Name]])</f>
        <v>Janet Weber</v>
      </c>
    </row>
    <row r="466" spans="1:17" x14ac:dyDescent="0.25">
      <c r="A466" s="1" t="s">
        <v>1846</v>
      </c>
      <c r="B466" s="2">
        <v>45858</v>
      </c>
      <c r="C466" s="1" t="s">
        <v>1847</v>
      </c>
      <c r="D466" s="1" t="s">
        <v>327</v>
      </c>
      <c r="E466" s="1" t="s">
        <v>549</v>
      </c>
      <c r="F466" s="1" t="s">
        <v>1848</v>
      </c>
      <c r="G466" s="1" t="s">
        <v>102</v>
      </c>
      <c r="H466" s="1" t="s">
        <v>37</v>
      </c>
      <c r="I466" s="1" t="s">
        <v>21</v>
      </c>
      <c r="J466">
        <v>2</v>
      </c>
      <c r="K466">
        <v>8412</v>
      </c>
      <c r="L466">
        <v>16824</v>
      </c>
      <c r="M466" s="1" t="s">
        <v>38</v>
      </c>
      <c r="N466" s="1" t="s">
        <v>46</v>
      </c>
      <c r="O466" t="str">
        <f>TEXT(SalesDataset[[#This Row],[Order_Date]],"mmm")</f>
        <v>Jul</v>
      </c>
      <c r="P466" s="1" t="str">
        <f>TEXT(SalesDataset[[#This Row],[Order_Date]],"YYYY")</f>
        <v>2025</v>
      </c>
      <c r="Q466" s="1" t="str">
        <f>_xlfn.TEXTJOIN(" ",TRUE,SalesDataset[[#This Row],[First_Name]],SalesDataset[[#This Row],[Last_Name]])</f>
        <v>Jacob Wilson</v>
      </c>
    </row>
    <row r="467" spans="1:17" x14ac:dyDescent="0.25">
      <c r="A467" s="1" t="s">
        <v>1849</v>
      </c>
      <c r="B467" s="2">
        <v>45778</v>
      </c>
      <c r="C467" s="1" t="s">
        <v>1850</v>
      </c>
      <c r="D467" s="1" t="s">
        <v>281</v>
      </c>
      <c r="E467" s="1" t="s">
        <v>1851</v>
      </c>
      <c r="F467" s="1" t="s">
        <v>1776</v>
      </c>
      <c r="G467" s="1" t="s">
        <v>19</v>
      </c>
      <c r="H467" s="1" t="s">
        <v>20</v>
      </c>
      <c r="I467" s="1" t="s">
        <v>21</v>
      </c>
      <c r="J467">
        <v>3</v>
      </c>
      <c r="K467">
        <v>5881</v>
      </c>
      <c r="L467">
        <v>17643</v>
      </c>
      <c r="M467" s="1" t="s">
        <v>86</v>
      </c>
      <c r="N467" s="1" t="s">
        <v>23</v>
      </c>
      <c r="O467" t="str">
        <f>TEXT(SalesDataset[[#This Row],[Order_Date]],"mmm")</f>
        <v>May</v>
      </c>
      <c r="P467" s="1" t="str">
        <f>TEXT(SalesDataset[[#This Row],[Order_Date]],"YYYY")</f>
        <v>2025</v>
      </c>
      <c r="Q467" s="1" t="str">
        <f>_xlfn.TEXTJOIN(" ",TRUE,SalesDataset[[#This Row],[First_Name]],SalesDataset[[#This Row],[Last_Name]])</f>
        <v>Thomas Oconnor</v>
      </c>
    </row>
    <row r="468" spans="1:17" x14ac:dyDescent="0.25">
      <c r="A468" s="1" t="s">
        <v>1852</v>
      </c>
      <c r="B468" s="2">
        <v>45993</v>
      </c>
      <c r="C468" s="1" t="s">
        <v>1766</v>
      </c>
      <c r="D468" s="1" t="s">
        <v>1853</v>
      </c>
      <c r="E468" s="1" t="s">
        <v>517</v>
      </c>
      <c r="F468" s="1" t="s">
        <v>1854</v>
      </c>
      <c r="G468" s="1" t="s">
        <v>102</v>
      </c>
      <c r="H468" s="1" t="s">
        <v>92</v>
      </c>
      <c r="I468" s="1" t="s">
        <v>21</v>
      </c>
      <c r="J468">
        <v>2</v>
      </c>
      <c r="K468">
        <v>61678</v>
      </c>
      <c r="L468">
        <v>123356</v>
      </c>
      <c r="M468" s="1" t="s">
        <v>63</v>
      </c>
      <c r="N468" s="1" t="s">
        <v>31</v>
      </c>
      <c r="O468" t="str">
        <f>TEXT(SalesDataset[[#This Row],[Order_Date]],"mmm")</f>
        <v>Dec</v>
      </c>
      <c r="P468" s="1" t="str">
        <f>TEXT(SalesDataset[[#This Row],[Order_Date]],"YYYY")</f>
        <v>2025</v>
      </c>
      <c r="Q468" s="1" t="str">
        <f>_xlfn.TEXTJOIN(" ",TRUE,SalesDataset[[#This Row],[First_Name]],SalesDataset[[#This Row],[Last_Name]])</f>
        <v>Ronnie Rodriguez</v>
      </c>
    </row>
    <row r="469" spans="1:17" x14ac:dyDescent="0.25">
      <c r="A469" s="1" t="s">
        <v>1855</v>
      </c>
      <c r="B469" s="2">
        <v>46050</v>
      </c>
      <c r="C469" s="1" t="s">
        <v>244</v>
      </c>
      <c r="D469" s="1" t="s">
        <v>1856</v>
      </c>
      <c r="E469" s="1" t="s">
        <v>218</v>
      </c>
      <c r="F469" s="1" t="s">
        <v>1857</v>
      </c>
      <c r="G469" s="1" t="s">
        <v>44</v>
      </c>
      <c r="H469" s="1" t="s">
        <v>37</v>
      </c>
      <c r="I469" s="1" t="s">
        <v>21</v>
      </c>
      <c r="J469">
        <v>3</v>
      </c>
      <c r="K469">
        <v>66497</v>
      </c>
      <c r="L469">
        <v>199491</v>
      </c>
      <c r="M469" s="1" t="s">
        <v>63</v>
      </c>
      <c r="N469" s="1" t="s">
        <v>46</v>
      </c>
      <c r="O469" t="str">
        <f>TEXT(SalesDataset[[#This Row],[Order_Date]],"mmm")</f>
        <v>Jan</v>
      </c>
      <c r="P469" s="1" t="str">
        <f>TEXT(SalesDataset[[#This Row],[Order_Date]],"YYYY")</f>
        <v>2026</v>
      </c>
      <c r="Q469" s="1" t="str">
        <f>_xlfn.TEXTJOIN(" ",TRUE,SalesDataset[[#This Row],[First_Name]],SalesDataset[[#This Row],[Last_Name]])</f>
        <v>Matthew Jones MD</v>
      </c>
    </row>
    <row r="470" spans="1:17" x14ac:dyDescent="0.25">
      <c r="A470" s="1" t="s">
        <v>1858</v>
      </c>
      <c r="B470" s="2">
        <v>46075</v>
      </c>
      <c r="C470" s="1" t="s">
        <v>1859</v>
      </c>
      <c r="D470" s="1" t="s">
        <v>227</v>
      </c>
      <c r="E470" s="1" t="s">
        <v>544</v>
      </c>
      <c r="F470" s="1" t="s">
        <v>1860</v>
      </c>
      <c r="G470" s="1" t="s">
        <v>19</v>
      </c>
      <c r="H470" s="1" t="s">
        <v>30</v>
      </c>
      <c r="I470" s="1" t="s">
        <v>21</v>
      </c>
      <c r="J470">
        <v>3</v>
      </c>
      <c r="K470">
        <v>41245</v>
      </c>
      <c r="L470">
        <v>123735</v>
      </c>
      <c r="M470" s="1" t="s">
        <v>22</v>
      </c>
      <c r="N470" s="1" t="s">
        <v>23</v>
      </c>
      <c r="O470" t="str">
        <f>TEXT(SalesDataset[[#This Row],[Order_Date]],"mmm")</f>
        <v>Feb</v>
      </c>
      <c r="P470" s="1" t="str">
        <f>TEXT(SalesDataset[[#This Row],[Order_Date]],"YYYY")</f>
        <v>2026</v>
      </c>
      <c r="Q470" s="1" t="str">
        <f>_xlfn.TEXTJOIN(" ",TRUE,SalesDataset[[#This Row],[First_Name]],SalesDataset[[#This Row],[Last_Name]])</f>
        <v>Julie White</v>
      </c>
    </row>
    <row r="471" spans="1:17" x14ac:dyDescent="0.25">
      <c r="A471" s="1" t="s">
        <v>1861</v>
      </c>
      <c r="B471" s="2">
        <v>46050</v>
      </c>
      <c r="C471" s="1" t="s">
        <v>1862</v>
      </c>
      <c r="D471" s="1" t="s">
        <v>361</v>
      </c>
      <c r="E471" s="1" t="s">
        <v>1108</v>
      </c>
      <c r="F471" s="1" t="s">
        <v>1863</v>
      </c>
      <c r="G471" s="1" t="s">
        <v>29</v>
      </c>
      <c r="H471" s="1" t="s">
        <v>30</v>
      </c>
      <c r="I471" s="1" t="s">
        <v>21</v>
      </c>
      <c r="J471">
        <v>3</v>
      </c>
      <c r="K471">
        <v>50612</v>
      </c>
      <c r="L471">
        <v>151836</v>
      </c>
      <c r="M471" s="1" t="s">
        <v>38</v>
      </c>
      <c r="N471" s="1" t="s">
        <v>23</v>
      </c>
      <c r="O471" t="str">
        <f>TEXT(SalesDataset[[#This Row],[Order_Date]],"mmm")</f>
        <v>Jan</v>
      </c>
      <c r="P471" s="1" t="str">
        <f>TEXT(SalesDataset[[#This Row],[Order_Date]],"YYYY")</f>
        <v>2026</v>
      </c>
      <c r="Q471" s="1" t="str">
        <f>_xlfn.TEXTJOIN(" ",TRUE,SalesDataset[[#This Row],[First_Name]],SalesDataset[[#This Row],[Last_Name]])</f>
        <v>Richard Young</v>
      </c>
    </row>
    <row r="472" spans="1:17" x14ac:dyDescent="0.25">
      <c r="A472" s="1" t="s">
        <v>1864</v>
      </c>
      <c r="B472" s="2">
        <v>45825</v>
      </c>
      <c r="C472" s="1" t="s">
        <v>1865</v>
      </c>
      <c r="D472" s="1" t="s">
        <v>864</v>
      </c>
      <c r="E472" s="1" t="s">
        <v>932</v>
      </c>
      <c r="F472" s="1" t="s">
        <v>1866</v>
      </c>
      <c r="G472" s="1" t="s">
        <v>102</v>
      </c>
      <c r="H472" s="1" t="s">
        <v>20</v>
      </c>
      <c r="I472" s="1" t="s">
        <v>21</v>
      </c>
      <c r="J472">
        <v>1</v>
      </c>
      <c r="K472">
        <v>44975</v>
      </c>
      <c r="L472">
        <v>44975</v>
      </c>
      <c r="M472" s="1" t="s">
        <v>63</v>
      </c>
      <c r="N472" s="1" t="s">
        <v>46</v>
      </c>
      <c r="O472" t="str">
        <f>TEXT(SalesDataset[[#This Row],[Order_Date]],"mmm")</f>
        <v>Jun</v>
      </c>
      <c r="P472" s="1" t="str">
        <f>TEXT(SalesDataset[[#This Row],[Order_Date]],"YYYY")</f>
        <v>2025</v>
      </c>
      <c r="Q472" s="1" t="str">
        <f>_xlfn.TEXTJOIN(" ",TRUE,SalesDataset[[#This Row],[First_Name]],SalesDataset[[#This Row],[Last_Name]])</f>
        <v>Andrea Kennedy</v>
      </c>
    </row>
    <row r="473" spans="1:17" x14ac:dyDescent="0.25">
      <c r="A473" s="1" t="s">
        <v>1867</v>
      </c>
      <c r="B473" s="2">
        <v>46114</v>
      </c>
      <c r="C473" s="1" t="s">
        <v>1868</v>
      </c>
      <c r="D473" s="1" t="s">
        <v>1869</v>
      </c>
      <c r="E473" s="1" t="s">
        <v>1870</v>
      </c>
      <c r="F473" s="1" t="s">
        <v>1871</v>
      </c>
      <c r="G473" s="1" t="s">
        <v>102</v>
      </c>
      <c r="H473" s="1" t="s">
        <v>62</v>
      </c>
      <c r="I473" s="1" t="s">
        <v>21</v>
      </c>
      <c r="J473">
        <v>3</v>
      </c>
      <c r="K473">
        <v>43609</v>
      </c>
      <c r="L473">
        <v>130827</v>
      </c>
      <c r="M473" s="1" t="s">
        <v>74</v>
      </c>
      <c r="N473" s="1" t="s">
        <v>46</v>
      </c>
      <c r="O473" t="str">
        <f>TEXT(SalesDataset[[#This Row],[Order_Date]],"mmm")</f>
        <v>Apr</v>
      </c>
      <c r="P473" s="1" t="str">
        <f>TEXT(SalesDataset[[#This Row],[Order_Date]],"YYYY")</f>
        <v>2026</v>
      </c>
      <c r="Q473" s="1" t="str">
        <f>_xlfn.TEXTJOIN(" ",TRUE,SalesDataset[[#This Row],[First_Name]],SalesDataset[[#This Row],[Last_Name]])</f>
        <v>Dakota Hudson</v>
      </c>
    </row>
    <row r="474" spans="1:17" x14ac:dyDescent="0.25">
      <c r="A474" s="1" t="s">
        <v>1872</v>
      </c>
      <c r="B474" s="2">
        <v>45928</v>
      </c>
      <c r="C474" s="1" t="s">
        <v>1873</v>
      </c>
      <c r="D474" s="1" t="s">
        <v>120</v>
      </c>
      <c r="E474" s="1" t="s">
        <v>121</v>
      </c>
      <c r="F474" s="1" t="s">
        <v>1874</v>
      </c>
      <c r="G474" s="1" t="s">
        <v>102</v>
      </c>
      <c r="H474" s="1" t="s">
        <v>80</v>
      </c>
      <c r="I474" s="1" t="s">
        <v>21</v>
      </c>
      <c r="J474">
        <v>4</v>
      </c>
      <c r="K474">
        <v>53112</v>
      </c>
      <c r="L474">
        <v>212448</v>
      </c>
      <c r="M474" s="1" t="s">
        <v>63</v>
      </c>
      <c r="N474" s="1" t="s">
        <v>31</v>
      </c>
      <c r="O474" t="str">
        <f>TEXT(SalesDataset[[#This Row],[Order_Date]],"mmm")</f>
        <v>Sep</v>
      </c>
      <c r="P474" s="1" t="str">
        <f>TEXT(SalesDataset[[#This Row],[Order_Date]],"YYYY")</f>
        <v>2025</v>
      </c>
      <c r="Q474" s="1" t="str">
        <f>_xlfn.TEXTJOIN(" ",TRUE,SalesDataset[[#This Row],[First_Name]],SalesDataset[[#This Row],[Last_Name]])</f>
        <v>Timothy Davis</v>
      </c>
    </row>
    <row r="475" spans="1:17" x14ac:dyDescent="0.25">
      <c r="A475" s="1" t="s">
        <v>1875</v>
      </c>
      <c r="B475" s="2">
        <v>45936</v>
      </c>
      <c r="C475" s="1" t="s">
        <v>1876</v>
      </c>
      <c r="D475" s="1" t="s">
        <v>89</v>
      </c>
      <c r="E475" s="1" t="s">
        <v>50</v>
      </c>
      <c r="F475" s="1" t="s">
        <v>1877</v>
      </c>
      <c r="G475" s="1" t="s">
        <v>19</v>
      </c>
      <c r="H475" s="1" t="s">
        <v>30</v>
      </c>
      <c r="I475" s="1" t="s">
        <v>21</v>
      </c>
      <c r="J475">
        <v>4</v>
      </c>
      <c r="K475">
        <v>48384</v>
      </c>
      <c r="L475">
        <v>193536</v>
      </c>
      <c r="M475" s="1" t="s">
        <v>63</v>
      </c>
      <c r="N475" s="1" t="s">
        <v>46</v>
      </c>
      <c r="O475" t="str">
        <f>TEXT(SalesDataset[[#This Row],[Order_Date]],"mmm")</f>
        <v>Oct</v>
      </c>
      <c r="P475" s="1" t="str">
        <f>TEXT(SalesDataset[[#This Row],[Order_Date]],"YYYY")</f>
        <v>2025</v>
      </c>
      <c r="Q475" s="1" t="str">
        <f>_xlfn.TEXTJOIN(" ",TRUE,SalesDataset[[#This Row],[First_Name]],SalesDataset[[#This Row],[Last_Name]])</f>
        <v>Amy Peterson</v>
      </c>
    </row>
    <row r="476" spans="1:17" x14ac:dyDescent="0.25">
      <c r="A476" s="1" t="s">
        <v>1878</v>
      </c>
      <c r="B476" s="2">
        <v>46079</v>
      </c>
      <c r="C476" s="1" t="s">
        <v>70</v>
      </c>
      <c r="D476" s="1" t="s">
        <v>1879</v>
      </c>
      <c r="E476" s="1" t="s">
        <v>945</v>
      </c>
      <c r="F476" s="1" t="s">
        <v>1880</v>
      </c>
      <c r="G476" s="1" t="s">
        <v>44</v>
      </c>
      <c r="H476" s="1" t="s">
        <v>30</v>
      </c>
      <c r="I476" s="1" t="s">
        <v>21</v>
      </c>
      <c r="J476">
        <v>1</v>
      </c>
      <c r="K476">
        <v>22445</v>
      </c>
      <c r="L476">
        <v>22445</v>
      </c>
      <c r="M476" s="1" t="s">
        <v>74</v>
      </c>
      <c r="N476" s="1" t="s">
        <v>23</v>
      </c>
      <c r="O476" t="str">
        <f>TEXT(SalesDataset[[#This Row],[Order_Date]],"mmm")</f>
        <v>Feb</v>
      </c>
      <c r="P476" s="1" t="str">
        <f>TEXT(SalesDataset[[#This Row],[Order_Date]],"YYYY")</f>
        <v>2026</v>
      </c>
      <c r="Q476" s="1" t="str">
        <f>_xlfn.TEXTJOIN(" ",TRUE,SalesDataset[[#This Row],[First_Name]],SalesDataset[[#This Row],[Last_Name]])</f>
        <v>Alicia Warner DVM</v>
      </c>
    </row>
    <row r="477" spans="1:17" x14ac:dyDescent="0.25">
      <c r="A477" s="1" t="s">
        <v>1881</v>
      </c>
      <c r="B477" s="2">
        <v>46076</v>
      </c>
      <c r="C477" s="1" t="s">
        <v>342</v>
      </c>
      <c r="D477" s="1" t="s">
        <v>245</v>
      </c>
      <c r="E477" s="1" t="s">
        <v>1882</v>
      </c>
      <c r="F477" s="1" t="s">
        <v>1883</v>
      </c>
      <c r="G477" s="1" t="s">
        <v>29</v>
      </c>
      <c r="H477" s="1" t="s">
        <v>37</v>
      </c>
      <c r="I477" s="1" t="s">
        <v>21</v>
      </c>
      <c r="J477">
        <v>5</v>
      </c>
      <c r="K477">
        <v>15145</v>
      </c>
      <c r="L477">
        <v>75725</v>
      </c>
      <c r="M477" s="1" t="s">
        <v>63</v>
      </c>
      <c r="N477" s="1" t="s">
        <v>23</v>
      </c>
      <c r="O477" t="str">
        <f>TEXT(SalesDataset[[#This Row],[Order_Date]],"mmm")</f>
        <v>Feb</v>
      </c>
      <c r="P477" s="1" t="str">
        <f>TEXT(SalesDataset[[#This Row],[Order_Date]],"YYYY")</f>
        <v>2026</v>
      </c>
      <c r="Q477" s="1" t="str">
        <f>_xlfn.TEXTJOIN(" ",TRUE,SalesDataset[[#This Row],[First_Name]],SalesDataset[[#This Row],[Last_Name]])</f>
        <v>Ricky Cain</v>
      </c>
    </row>
    <row r="478" spans="1:17" x14ac:dyDescent="0.25">
      <c r="A478" s="1" t="s">
        <v>1884</v>
      </c>
      <c r="B478" s="2">
        <v>46112</v>
      </c>
      <c r="C478" s="1" t="s">
        <v>1885</v>
      </c>
      <c r="D478" s="1" t="s">
        <v>1886</v>
      </c>
      <c r="E478" s="1" t="s">
        <v>218</v>
      </c>
      <c r="F478" s="1" t="s">
        <v>1887</v>
      </c>
      <c r="G478" s="1" t="s">
        <v>44</v>
      </c>
      <c r="H478" s="1" t="s">
        <v>62</v>
      </c>
      <c r="I478" s="1" t="s">
        <v>21</v>
      </c>
      <c r="J478">
        <v>5</v>
      </c>
      <c r="K478">
        <v>55861</v>
      </c>
      <c r="L478">
        <v>279305</v>
      </c>
      <c r="M478" s="1" t="s">
        <v>74</v>
      </c>
      <c r="N478" s="1" t="s">
        <v>23</v>
      </c>
      <c r="O478" t="str">
        <f>TEXT(SalesDataset[[#This Row],[Order_Date]],"mmm")</f>
        <v>Mar</v>
      </c>
      <c r="P478" s="1" t="str">
        <f>TEXT(SalesDataset[[#This Row],[Order_Date]],"YYYY")</f>
        <v>2026</v>
      </c>
      <c r="Q478" s="1" t="str">
        <f>_xlfn.TEXTJOIN(" ",TRUE,SalesDataset[[#This Row],[First_Name]],SalesDataset[[#This Row],[Last_Name]])</f>
        <v>Miss Laura Ross MD</v>
      </c>
    </row>
    <row r="479" spans="1:17" x14ac:dyDescent="0.25">
      <c r="A479" s="1" t="s">
        <v>1888</v>
      </c>
      <c r="B479" s="2">
        <v>45864</v>
      </c>
      <c r="C479" s="1" t="s">
        <v>1750</v>
      </c>
      <c r="D479" s="1" t="s">
        <v>970</v>
      </c>
      <c r="E479" s="1" t="s">
        <v>1889</v>
      </c>
      <c r="F479" s="1" t="s">
        <v>1890</v>
      </c>
      <c r="G479" s="1" t="s">
        <v>19</v>
      </c>
      <c r="H479" s="1" t="s">
        <v>20</v>
      </c>
      <c r="I479" s="1" t="s">
        <v>21</v>
      </c>
      <c r="J479">
        <v>5</v>
      </c>
      <c r="K479">
        <v>4464</v>
      </c>
      <c r="L479">
        <v>22320</v>
      </c>
      <c r="M479" s="1" t="s">
        <v>22</v>
      </c>
      <c r="N479" s="1" t="s">
        <v>46</v>
      </c>
      <c r="O479" t="str">
        <f>TEXT(SalesDataset[[#This Row],[Order_Date]],"mmm")</f>
        <v>Jul</v>
      </c>
      <c r="P479" s="1" t="str">
        <f>TEXT(SalesDataset[[#This Row],[Order_Date]],"YYYY")</f>
        <v>2025</v>
      </c>
      <c r="Q479" s="1" t="str">
        <f>_xlfn.TEXTJOIN(" ",TRUE,SalesDataset[[#This Row],[First_Name]],SalesDataset[[#This Row],[Last_Name]])</f>
        <v>Rebecca Reynolds</v>
      </c>
    </row>
    <row r="480" spans="1:17" x14ac:dyDescent="0.25">
      <c r="A480" s="1" t="s">
        <v>1891</v>
      </c>
      <c r="B480" s="2">
        <v>45909</v>
      </c>
      <c r="C480" s="1" t="s">
        <v>1892</v>
      </c>
      <c r="D480" s="1" t="s">
        <v>1893</v>
      </c>
      <c r="E480" s="1" t="s">
        <v>1894</v>
      </c>
      <c r="F480" s="1" t="s">
        <v>1895</v>
      </c>
      <c r="G480" s="1" t="s">
        <v>44</v>
      </c>
      <c r="H480" s="1" t="s">
        <v>37</v>
      </c>
      <c r="I480" s="1" t="s">
        <v>21</v>
      </c>
      <c r="J480">
        <v>1</v>
      </c>
      <c r="K480">
        <v>24698</v>
      </c>
      <c r="L480">
        <v>24698</v>
      </c>
      <c r="M480" s="1" t="s">
        <v>86</v>
      </c>
      <c r="N480" s="1" t="s">
        <v>46</v>
      </c>
      <c r="O480" t="str">
        <f>TEXT(SalesDataset[[#This Row],[Order_Date]],"mmm")</f>
        <v>Sep</v>
      </c>
      <c r="P480" s="1" t="str">
        <f>TEXT(SalesDataset[[#This Row],[Order_Date]],"YYYY")</f>
        <v>2025</v>
      </c>
      <c r="Q480" s="1" t="str">
        <f>_xlfn.TEXTJOIN(" ",TRUE,SalesDataset[[#This Row],[First_Name]],SalesDataset[[#This Row],[Last_Name]])</f>
        <v>Danielle Case</v>
      </c>
    </row>
    <row r="481" spans="1:17" x14ac:dyDescent="0.25">
      <c r="A481" s="1" t="s">
        <v>1896</v>
      </c>
      <c r="B481" s="2">
        <v>45936</v>
      </c>
      <c r="C481" s="1" t="s">
        <v>1897</v>
      </c>
      <c r="D481" s="1" t="s">
        <v>548</v>
      </c>
      <c r="E481" s="1" t="s">
        <v>1898</v>
      </c>
      <c r="F481" s="1" t="s">
        <v>1899</v>
      </c>
      <c r="G481" s="1" t="s">
        <v>19</v>
      </c>
      <c r="H481" s="1" t="s">
        <v>37</v>
      </c>
      <c r="I481" s="1" t="s">
        <v>21</v>
      </c>
      <c r="J481">
        <v>5</v>
      </c>
      <c r="K481">
        <v>23986</v>
      </c>
      <c r="L481">
        <v>119930</v>
      </c>
      <c r="M481" s="1" t="s">
        <v>74</v>
      </c>
      <c r="N481" s="1" t="s">
        <v>46</v>
      </c>
      <c r="O481" t="str">
        <f>TEXT(SalesDataset[[#This Row],[Order_Date]],"mmm")</f>
        <v>Oct</v>
      </c>
      <c r="P481" s="1" t="str">
        <f>TEXT(SalesDataset[[#This Row],[Order_Date]],"YYYY")</f>
        <v>2025</v>
      </c>
      <c r="Q481" s="1" t="str">
        <f>_xlfn.TEXTJOIN(" ",TRUE,SalesDataset[[#This Row],[First_Name]],SalesDataset[[#This Row],[Last_Name]])</f>
        <v>James Decker</v>
      </c>
    </row>
    <row r="482" spans="1:17" x14ac:dyDescent="0.25">
      <c r="A482" s="1" t="s">
        <v>1900</v>
      </c>
      <c r="B482" s="2">
        <v>46069</v>
      </c>
      <c r="C482" s="1" t="s">
        <v>284</v>
      </c>
      <c r="D482" s="1" t="s">
        <v>706</v>
      </c>
      <c r="E482" s="1" t="s">
        <v>1901</v>
      </c>
      <c r="F482" s="1" t="s">
        <v>1902</v>
      </c>
      <c r="G482" s="1" t="s">
        <v>29</v>
      </c>
      <c r="H482" s="1" t="s">
        <v>45</v>
      </c>
      <c r="I482" s="1" t="s">
        <v>21</v>
      </c>
      <c r="J482">
        <v>3</v>
      </c>
      <c r="K482">
        <v>17372</v>
      </c>
      <c r="L482">
        <v>52116</v>
      </c>
      <c r="M482" s="1" t="s">
        <v>74</v>
      </c>
      <c r="N482" s="1" t="s">
        <v>46</v>
      </c>
      <c r="O482" t="str">
        <f>TEXT(SalesDataset[[#This Row],[Order_Date]],"mmm")</f>
        <v>Feb</v>
      </c>
      <c r="P482" s="1" t="str">
        <f>TEXT(SalesDataset[[#This Row],[Order_Date]],"YYYY")</f>
        <v>2026</v>
      </c>
      <c r="Q482" s="1" t="str">
        <f>_xlfn.TEXTJOIN(" ",TRUE,SalesDataset[[#This Row],[First_Name]],SalesDataset[[#This Row],[Last_Name]])</f>
        <v>Michelle Green</v>
      </c>
    </row>
    <row r="483" spans="1:17" x14ac:dyDescent="0.25">
      <c r="A483" s="1" t="s">
        <v>1903</v>
      </c>
      <c r="B483" s="2">
        <v>45814</v>
      </c>
      <c r="C483" s="1" t="s">
        <v>109</v>
      </c>
      <c r="D483" s="1" t="s">
        <v>1904</v>
      </c>
      <c r="E483" s="1" t="s">
        <v>1123</v>
      </c>
      <c r="F483" s="1" t="s">
        <v>1905</v>
      </c>
      <c r="G483" s="1" t="s">
        <v>19</v>
      </c>
      <c r="H483" s="1" t="s">
        <v>62</v>
      </c>
      <c r="I483" s="1" t="s">
        <v>21</v>
      </c>
      <c r="J483">
        <v>5</v>
      </c>
      <c r="K483">
        <v>75654</v>
      </c>
      <c r="L483">
        <v>378270</v>
      </c>
      <c r="M483" s="1" t="s">
        <v>86</v>
      </c>
      <c r="N483" s="1" t="s">
        <v>23</v>
      </c>
      <c r="O483" t="str">
        <f>TEXT(SalesDataset[[#This Row],[Order_Date]],"mmm")</f>
        <v>Jun</v>
      </c>
      <c r="P483" s="1" t="str">
        <f>TEXT(SalesDataset[[#This Row],[Order_Date]],"YYYY")</f>
        <v>2025</v>
      </c>
      <c r="Q483" s="1" t="str">
        <f>_xlfn.TEXTJOIN(" ",TRUE,SalesDataset[[#This Row],[First_Name]],SalesDataset[[#This Row],[Last_Name]])</f>
        <v>Kristopher Nelson</v>
      </c>
    </row>
    <row r="484" spans="1:17" x14ac:dyDescent="0.25">
      <c r="A484" s="1" t="s">
        <v>1906</v>
      </c>
      <c r="B484" s="2">
        <v>45871</v>
      </c>
      <c r="C484" s="1" t="s">
        <v>520</v>
      </c>
      <c r="D484" s="1" t="s">
        <v>1907</v>
      </c>
      <c r="E484" s="1" t="s">
        <v>450</v>
      </c>
      <c r="F484" s="1" t="s">
        <v>1283</v>
      </c>
      <c r="G484" s="1" t="s">
        <v>102</v>
      </c>
      <c r="H484" s="1" t="s">
        <v>37</v>
      </c>
      <c r="I484" s="1" t="s">
        <v>21</v>
      </c>
      <c r="J484">
        <v>3</v>
      </c>
      <c r="K484">
        <v>58351</v>
      </c>
      <c r="L484">
        <v>175053</v>
      </c>
      <c r="M484" s="1" t="s">
        <v>86</v>
      </c>
      <c r="N484" s="1" t="s">
        <v>31</v>
      </c>
      <c r="O484" t="str">
        <f>TEXT(SalesDataset[[#This Row],[Order_Date]],"mmm")</f>
        <v>Aug</v>
      </c>
      <c r="P484" s="1" t="str">
        <f>TEXT(SalesDataset[[#This Row],[Order_Date]],"YYYY")</f>
        <v>2025</v>
      </c>
      <c r="Q484" s="1" t="str">
        <f>_xlfn.TEXTJOIN(" ",TRUE,SalesDataset[[#This Row],[First_Name]],SalesDataset[[#This Row],[Last_Name]])</f>
        <v>Christina Jones</v>
      </c>
    </row>
    <row r="485" spans="1:17" x14ac:dyDescent="0.25">
      <c r="A485" s="1" t="s">
        <v>1908</v>
      </c>
      <c r="B485" s="2">
        <v>45998</v>
      </c>
      <c r="C485" s="1" t="s">
        <v>1909</v>
      </c>
      <c r="D485" s="1" t="s">
        <v>666</v>
      </c>
      <c r="E485" s="1" t="s">
        <v>27</v>
      </c>
      <c r="F485" s="1" t="s">
        <v>1910</v>
      </c>
      <c r="G485" s="1" t="s">
        <v>44</v>
      </c>
      <c r="H485" s="1" t="s">
        <v>92</v>
      </c>
      <c r="I485" s="1" t="s">
        <v>21</v>
      </c>
      <c r="J485">
        <v>2</v>
      </c>
      <c r="K485">
        <v>47048</v>
      </c>
      <c r="L485">
        <v>94096</v>
      </c>
      <c r="M485" s="1" t="s">
        <v>22</v>
      </c>
      <c r="N485" s="1" t="s">
        <v>31</v>
      </c>
      <c r="O485" t="str">
        <f>TEXT(SalesDataset[[#This Row],[Order_Date]],"mmm")</f>
        <v>Dec</v>
      </c>
      <c r="P485" s="1" t="str">
        <f>TEXT(SalesDataset[[#This Row],[Order_Date]],"YYYY")</f>
        <v>2025</v>
      </c>
      <c r="Q485" s="1" t="str">
        <f>_xlfn.TEXTJOIN(" ",TRUE,SalesDataset[[#This Row],[First_Name]],SalesDataset[[#This Row],[Last_Name]])</f>
        <v>Brittany Hernandez</v>
      </c>
    </row>
    <row r="486" spans="1:17" x14ac:dyDescent="0.25">
      <c r="A486" s="1" t="s">
        <v>1911</v>
      </c>
      <c r="B486" s="2">
        <v>46037</v>
      </c>
      <c r="C486" s="1" t="s">
        <v>1912</v>
      </c>
      <c r="D486" s="1" t="s">
        <v>49</v>
      </c>
      <c r="E486" s="1" t="s">
        <v>908</v>
      </c>
      <c r="F486" s="1" t="s">
        <v>1913</v>
      </c>
      <c r="G486" s="1" t="s">
        <v>44</v>
      </c>
      <c r="H486" s="1" t="s">
        <v>45</v>
      </c>
      <c r="I486" s="1" t="s">
        <v>21</v>
      </c>
      <c r="J486">
        <v>1</v>
      </c>
      <c r="K486">
        <v>4913</v>
      </c>
      <c r="L486">
        <v>4913</v>
      </c>
      <c r="M486" s="1" t="s">
        <v>38</v>
      </c>
      <c r="N486" s="1" t="s">
        <v>31</v>
      </c>
      <c r="O486" t="str">
        <f>TEXT(SalesDataset[[#This Row],[Order_Date]],"mmm")</f>
        <v>Jan</v>
      </c>
      <c r="P486" s="1" t="str">
        <f>TEXT(SalesDataset[[#This Row],[Order_Date]],"YYYY")</f>
        <v>2026</v>
      </c>
      <c r="Q486" s="1" t="str">
        <f>_xlfn.TEXTJOIN(" ",TRUE,SalesDataset[[#This Row],[First_Name]],SalesDataset[[#This Row],[Last_Name]])</f>
        <v>Eric Flores</v>
      </c>
    </row>
    <row r="487" spans="1:17" x14ac:dyDescent="0.25">
      <c r="A487" s="1" t="s">
        <v>1914</v>
      </c>
      <c r="B487" s="2">
        <v>46017</v>
      </c>
      <c r="C487" s="1" t="s">
        <v>1369</v>
      </c>
      <c r="D487" s="1" t="s">
        <v>859</v>
      </c>
      <c r="E487" s="1" t="s">
        <v>1915</v>
      </c>
      <c r="F487" s="1" t="s">
        <v>1916</v>
      </c>
      <c r="G487" s="1" t="s">
        <v>44</v>
      </c>
      <c r="H487" s="1" t="s">
        <v>80</v>
      </c>
      <c r="I487" s="1" t="s">
        <v>21</v>
      </c>
      <c r="J487">
        <v>3</v>
      </c>
      <c r="K487">
        <v>13522</v>
      </c>
      <c r="L487">
        <v>40566</v>
      </c>
      <c r="M487" s="1" t="s">
        <v>86</v>
      </c>
      <c r="N487" s="1" t="s">
        <v>31</v>
      </c>
      <c r="O487" t="str">
        <f>TEXT(SalesDataset[[#This Row],[Order_Date]],"mmm")</f>
        <v>Dec</v>
      </c>
      <c r="P487" s="1" t="str">
        <f>TEXT(SalesDataset[[#This Row],[Order_Date]],"YYYY")</f>
        <v>2025</v>
      </c>
      <c r="Q487" s="1" t="str">
        <f>_xlfn.TEXTJOIN(" ",TRUE,SalesDataset[[#This Row],[First_Name]],SalesDataset[[#This Row],[Last_Name]])</f>
        <v>John Swanson</v>
      </c>
    </row>
    <row r="488" spans="1:17" x14ac:dyDescent="0.25">
      <c r="A488" s="1" t="s">
        <v>1917</v>
      </c>
      <c r="B488" s="2">
        <v>45944</v>
      </c>
      <c r="C488" s="1" t="s">
        <v>436</v>
      </c>
      <c r="D488" s="1" t="s">
        <v>1918</v>
      </c>
      <c r="E488" s="1" t="s">
        <v>517</v>
      </c>
      <c r="F488" s="1" t="s">
        <v>1919</v>
      </c>
      <c r="G488" s="1" t="s">
        <v>29</v>
      </c>
      <c r="H488" s="1" t="s">
        <v>37</v>
      </c>
      <c r="I488" s="1" t="s">
        <v>21</v>
      </c>
      <c r="J488">
        <v>4</v>
      </c>
      <c r="K488">
        <v>35126</v>
      </c>
      <c r="L488">
        <v>140504</v>
      </c>
      <c r="M488" s="1" t="s">
        <v>86</v>
      </c>
      <c r="N488" s="1" t="s">
        <v>31</v>
      </c>
      <c r="O488" t="str">
        <f>TEXT(SalesDataset[[#This Row],[Order_Date]],"mmm")</f>
        <v>Oct</v>
      </c>
      <c r="P488" s="1" t="str">
        <f>TEXT(SalesDataset[[#This Row],[Order_Date]],"YYYY")</f>
        <v>2025</v>
      </c>
      <c r="Q488" s="1" t="str">
        <f>_xlfn.TEXTJOIN(" ",TRUE,SalesDataset[[#This Row],[First_Name]],SalesDataset[[#This Row],[Last_Name]])</f>
        <v>Sheila Rodriguez</v>
      </c>
    </row>
    <row r="489" spans="1:17" x14ac:dyDescent="0.25">
      <c r="A489" s="1" t="s">
        <v>1920</v>
      </c>
      <c r="B489" s="2">
        <v>45881</v>
      </c>
      <c r="C489" s="1" t="s">
        <v>1921</v>
      </c>
      <c r="D489" s="1" t="s">
        <v>1103</v>
      </c>
      <c r="E489" s="1" t="s">
        <v>667</v>
      </c>
      <c r="F489" s="1" t="s">
        <v>1922</v>
      </c>
      <c r="G489" s="1" t="s">
        <v>29</v>
      </c>
      <c r="H489" s="1" t="s">
        <v>20</v>
      </c>
      <c r="I489" s="1" t="s">
        <v>21</v>
      </c>
      <c r="J489">
        <v>4</v>
      </c>
      <c r="K489">
        <v>34954</v>
      </c>
      <c r="L489">
        <v>139816</v>
      </c>
      <c r="M489" s="1" t="s">
        <v>74</v>
      </c>
      <c r="N489" s="1" t="s">
        <v>31</v>
      </c>
      <c r="O489" t="str">
        <f>TEXT(SalesDataset[[#This Row],[Order_Date]],"mmm")</f>
        <v>Aug</v>
      </c>
      <c r="P489" s="1" t="str">
        <f>TEXT(SalesDataset[[#This Row],[Order_Date]],"YYYY")</f>
        <v>2025</v>
      </c>
      <c r="Q489" s="1" t="str">
        <f>_xlfn.TEXTJOIN(" ",TRUE,SalesDataset[[#This Row],[First_Name]],SalesDataset[[#This Row],[Last_Name]])</f>
        <v>Heather Mercado</v>
      </c>
    </row>
    <row r="490" spans="1:17" x14ac:dyDescent="0.25">
      <c r="A490" s="1" t="s">
        <v>1923</v>
      </c>
      <c r="B490" s="2">
        <v>46078</v>
      </c>
      <c r="C490" s="1" t="s">
        <v>154</v>
      </c>
      <c r="D490" s="1" t="s">
        <v>361</v>
      </c>
      <c r="E490" s="1" t="s">
        <v>1924</v>
      </c>
      <c r="F490" s="1" t="s">
        <v>1925</v>
      </c>
      <c r="G490" s="1" t="s">
        <v>19</v>
      </c>
      <c r="H490" s="1" t="s">
        <v>62</v>
      </c>
      <c r="I490" s="1" t="s">
        <v>21</v>
      </c>
      <c r="J490">
        <v>3</v>
      </c>
      <c r="K490">
        <v>73648</v>
      </c>
      <c r="L490">
        <v>220944</v>
      </c>
      <c r="M490" s="1" t="s">
        <v>74</v>
      </c>
      <c r="N490" s="1" t="s">
        <v>23</v>
      </c>
      <c r="O490" t="str">
        <f>TEXT(SalesDataset[[#This Row],[Order_Date]],"mmm")</f>
        <v>Feb</v>
      </c>
      <c r="P490" s="1" t="str">
        <f>TEXT(SalesDataset[[#This Row],[Order_Date]],"YYYY")</f>
        <v>2026</v>
      </c>
      <c r="Q490" s="1" t="str">
        <f>_xlfn.TEXTJOIN(" ",TRUE,SalesDataset[[#This Row],[First_Name]],SalesDataset[[#This Row],[Last_Name]])</f>
        <v>Richard Jensen</v>
      </c>
    </row>
    <row r="491" spans="1:17" x14ac:dyDescent="0.25">
      <c r="A491" s="1" t="s">
        <v>1926</v>
      </c>
      <c r="B491" s="2">
        <v>46044</v>
      </c>
      <c r="C491" s="1" t="s">
        <v>1927</v>
      </c>
      <c r="D491" s="1" t="s">
        <v>1220</v>
      </c>
      <c r="E491" s="1" t="s">
        <v>78</v>
      </c>
      <c r="F491" s="1" t="s">
        <v>1928</v>
      </c>
      <c r="G491" s="1" t="s">
        <v>29</v>
      </c>
      <c r="H491" s="1" t="s">
        <v>30</v>
      </c>
      <c r="I491" s="1" t="s">
        <v>21</v>
      </c>
      <c r="J491">
        <v>4</v>
      </c>
      <c r="K491">
        <v>13595</v>
      </c>
      <c r="L491">
        <v>54380</v>
      </c>
      <c r="M491" s="1" t="s">
        <v>74</v>
      </c>
      <c r="N491" s="1" t="s">
        <v>31</v>
      </c>
      <c r="O491" t="str">
        <f>TEXT(SalesDataset[[#This Row],[Order_Date]],"mmm")</f>
        <v>Jan</v>
      </c>
      <c r="P491" s="1" t="str">
        <f>TEXT(SalesDataset[[#This Row],[Order_Date]],"YYYY")</f>
        <v>2026</v>
      </c>
      <c r="Q491" s="1" t="str">
        <f>_xlfn.TEXTJOIN(" ",TRUE,SalesDataset[[#This Row],[First_Name]],SalesDataset[[#This Row],[Last_Name]])</f>
        <v>Ryan Taylor</v>
      </c>
    </row>
    <row r="492" spans="1:17" x14ac:dyDescent="0.25">
      <c r="A492" s="1" t="s">
        <v>1929</v>
      </c>
      <c r="B492" s="2">
        <v>45866</v>
      </c>
      <c r="C492" s="1" t="s">
        <v>1930</v>
      </c>
      <c r="D492" s="1" t="s">
        <v>1931</v>
      </c>
      <c r="E492" s="1" t="s">
        <v>1005</v>
      </c>
      <c r="F492" s="1" t="s">
        <v>1932</v>
      </c>
      <c r="G492" s="1" t="s">
        <v>19</v>
      </c>
      <c r="H492" s="1" t="s">
        <v>37</v>
      </c>
      <c r="I492" s="1" t="s">
        <v>21</v>
      </c>
      <c r="J492">
        <v>3</v>
      </c>
      <c r="K492">
        <v>38958</v>
      </c>
      <c r="L492">
        <v>116874</v>
      </c>
      <c r="M492" s="1" t="s">
        <v>86</v>
      </c>
      <c r="N492" s="1" t="s">
        <v>46</v>
      </c>
      <c r="O492" t="str">
        <f>TEXT(SalesDataset[[#This Row],[Order_Date]],"mmm")</f>
        <v>Jul</v>
      </c>
      <c r="P492" s="1" t="str">
        <f>TEXT(SalesDataset[[#This Row],[Order_Date]],"YYYY")</f>
        <v>2025</v>
      </c>
      <c r="Q492" s="1" t="str">
        <f>_xlfn.TEXTJOIN(" ",TRUE,SalesDataset[[#This Row],[First_Name]],SalesDataset[[#This Row],[Last_Name]])</f>
        <v>Cynthia Huff DDS</v>
      </c>
    </row>
    <row r="493" spans="1:17" x14ac:dyDescent="0.25">
      <c r="A493" s="1" t="s">
        <v>1933</v>
      </c>
      <c r="B493" s="2">
        <v>46098</v>
      </c>
      <c r="C493" s="1" t="s">
        <v>1934</v>
      </c>
      <c r="D493" s="1" t="s">
        <v>1935</v>
      </c>
      <c r="E493" s="1" t="s">
        <v>488</v>
      </c>
      <c r="F493" s="1" t="s">
        <v>1936</v>
      </c>
      <c r="G493" s="1" t="s">
        <v>19</v>
      </c>
      <c r="H493" s="1" t="s">
        <v>37</v>
      </c>
      <c r="I493" s="1" t="s">
        <v>21</v>
      </c>
      <c r="J493">
        <v>2</v>
      </c>
      <c r="K493">
        <v>52239</v>
      </c>
      <c r="L493">
        <v>104478</v>
      </c>
      <c r="M493" s="1" t="s">
        <v>63</v>
      </c>
      <c r="N493" s="1" t="s">
        <v>46</v>
      </c>
      <c r="O493" t="str">
        <f>TEXT(SalesDataset[[#This Row],[Order_Date]],"mmm")</f>
        <v>Mar</v>
      </c>
      <c r="P493" s="1" t="str">
        <f>TEXT(SalesDataset[[#This Row],[Order_Date]],"YYYY")</f>
        <v>2026</v>
      </c>
      <c r="Q493" s="1" t="str">
        <f>_xlfn.TEXTJOIN(" ",TRUE,SalesDataset[[#This Row],[First_Name]],SalesDataset[[#This Row],[Last_Name]])</f>
        <v>Suzanne Johnson</v>
      </c>
    </row>
    <row r="494" spans="1:17" x14ac:dyDescent="0.25">
      <c r="A494" s="1" t="s">
        <v>1937</v>
      </c>
      <c r="B494" s="2">
        <v>46054</v>
      </c>
      <c r="C494" s="1" t="s">
        <v>783</v>
      </c>
      <c r="D494" s="1" t="s">
        <v>71</v>
      </c>
      <c r="E494" s="1" t="s">
        <v>136</v>
      </c>
      <c r="F494" s="1" t="s">
        <v>1938</v>
      </c>
      <c r="G494" s="1" t="s">
        <v>19</v>
      </c>
      <c r="H494" s="1" t="s">
        <v>92</v>
      </c>
      <c r="I494" s="1" t="s">
        <v>21</v>
      </c>
      <c r="J494">
        <v>5</v>
      </c>
      <c r="K494">
        <v>29340</v>
      </c>
      <c r="L494">
        <v>146700</v>
      </c>
      <c r="M494" s="1" t="s">
        <v>22</v>
      </c>
      <c r="N494" s="1" t="s">
        <v>46</v>
      </c>
      <c r="O494" t="str">
        <f>TEXT(SalesDataset[[#This Row],[Order_Date]],"mmm")</f>
        <v>Feb</v>
      </c>
      <c r="P494" s="1" t="str">
        <f>TEXT(SalesDataset[[#This Row],[Order_Date]],"YYYY")</f>
        <v>2026</v>
      </c>
      <c r="Q494" s="1" t="str">
        <f>_xlfn.TEXTJOIN(" ",TRUE,SalesDataset[[#This Row],[First_Name]],SalesDataset[[#This Row],[Last_Name]])</f>
        <v>Raymond Moore</v>
      </c>
    </row>
    <row r="495" spans="1:17" x14ac:dyDescent="0.25">
      <c r="A495" s="1" t="s">
        <v>1939</v>
      </c>
      <c r="B495" s="2">
        <v>45923</v>
      </c>
      <c r="C495" s="1" t="s">
        <v>1940</v>
      </c>
      <c r="D495" s="1" t="s">
        <v>548</v>
      </c>
      <c r="E495" s="1" t="s">
        <v>1941</v>
      </c>
      <c r="F495" s="1" t="s">
        <v>257</v>
      </c>
      <c r="G495" s="1" t="s">
        <v>102</v>
      </c>
      <c r="H495" s="1" t="s">
        <v>80</v>
      </c>
      <c r="I495" s="1" t="s">
        <v>21</v>
      </c>
      <c r="J495">
        <v>2</v>
      </c>
      <c r="K495">
        <v>57950</v>
      </c>
      <c r="L495">
        <v>115900</v>
      </c>
      <c r="M495" s="1" t="s">
        <v>63</v>
      </c>
      <c r="N495" s="1" t="s">
        <v>23</v>
      </c>
      <c r="O495" t="str">
        <f>TEXT(SalesDataset[[#This Row],[Order_Date]],"mmm")</f>
        <v>Sep</v>
      </c>
      <c r="P495" s="1" t="str">
        <f>TEXT(SalesDataset[[#This Row],[Order_Date]],"YYYY")</f>
        <v>2025</v>
      </c>
      <c r="Q495" s="1" t="str">
        <f>_xlfn.TEXTJOIN(" ",TRUE,SalesDataset[[#This Row],[First_Name]],SalesDataset[[#This Row],[Last_Name]])</f>
        <v>James Pineda</v>
      </c>
    </row>
    <row r="496" spans="1:17" x14ac:dyDescent="0.25">
      <c r="A496" s="1" t="s">
        <v>1942</v>
      </c>
      <c r="B496" s="2">
        <v>45989</v>
      </c>
      <c r="C496" s="1" t="s">
        <v>1943</v>
      </c>
      <c r="D496" s="1" t="s">
        <v>1944</v>
      </c>
      <c r="E496" s="1" t="s">
        <v>1945</v>
      </c>
      <c r="F496" s="1" t="s">
        <v>1946</v>
      </c>
      <c r="G496" s="1" t="s">
        <v>29</v>
      </c>
      <c r="H496" s="1" t="s">
        <v>37</v>
      </c>
      <c r="I496" s="1" t="s">
        <v>21</v>
      </c>
      <c r="J496">
        <v>5</v>
      </c>
      <c r="K496">
        <v>20221</v>
      </c>
      <c r="L496">
        <v>101105</v>
      </c>
      <c r="M496" s="1" t="s">
        <v>38</v>
      </c>
      <c r="N496" s="1" t="s">
        <v>23</v>
      </c>
      <c r="O496" t="str">
        <f>TEXT(SalesDataset[[#This Row],[Order_Date]],"mmm")</f>
        <v>Nov</v>
      </c>
      <c r="P496" s="1" t="str">
        <f>TEXT(SalesDataset[[#This Row],[Order_Date]],"YYYY")</f>
        <v>2025</v>
      </c>
      <c r="Q496" s="1" t="str">
        <f>_xlfn.TEXTJOIN(" ",TRUE,SalesDataset[[#This Row],[First_Name]],SalesDataset[[#This Row],[Last_Name]])</f>
        <v>Krystal Farrell</v>
      </c>
    </row>
    <row r="497" spans="1:17" x14ac:dyDescent="0.25">
      <c r="A497" s="1" t="s">
        <v>1947</v>
      </c>
      <c r="B497" s="2">
        <v>46132</v>
      </c>
      <c r="C497" s="1" t="s">
        <v>1948</v>
      </c>
      <c r="D497" s="1" t="s">
        <v>273</v>
      </c>
      <c r="E497" s="1" t="s">
        <v>1949</v>
      </c>
      <c r="F497" s="1" t="s">
        <v>1950</v>
      </c>
      <c r="G497" s="1" t="s">
        <v>19</v>
      </c>
      <c r="H497" s="1" t="s">
        <v>62</v>
      </c>
      <c r="I497" s="1" t="s">
        <v>21</v>
      </c>
      <c r="J497">
        <v>1</v>
      </c>
      <c r="K497">
        <v>5750</v>
      </c>
      <c r="L497">
        <v>5750</v>
      </c>
      <c r="M497" s="1" t="s">
        <v>38</v>
      </c>
      <c r="N497" s="1" t="s">
        <v>31</v>
      </c>
      <c r="O497" t="str">
        <f>TEXT(SalesDataset[[#This Row],[Order_Date]],"mmm")</f>
        <v>Apr</v>
      </c>
      <c r="P497" s="1" t="str">
        <f>TEXT(SalesDataset[[#This Row],[Order_Date]],"YYYY")</f>
        <v>2026</v>
      </c>
      <c r="Q497" s="1" t="str">
        <f>_xlfn.TEXTJOIN(" ",TRUE,SalesDataset[[#This Row],[First_Name]],SalesDataset[[#This Row],[Last_Name]])</f>
        <v>Robert Mcgee</v>
      </c>
    </row>
    <row r="498" spans="1:17" x14ac:dyDescent="0.25">
      <c r="A498" s="1" t="s">
        <v>1951</v>
      </c>
      <c r="B498" s="2">
        <v>46056</v>
      </c>
      <c r="C498" s="1" t="s">
        <v>216</v>
      </c>
      <c r="D498" s="1" t="s">
        <v>1952</v>
      </c>
      <c r="E498" s="1" t="s">
        <v>1953</v>
      </c>
      <c r="F498" s="1" t="s">
        <v>1954</v>
      </c>
      <c r="G498" s="1" t="s">
        <v>44</v>
      </c>
      <c r="H498" s="1" t="s">
        <v>45</v>
      </c>
      <c r="I498" s="1" t="s">
        <v>21</v>
      </c>
      <c r="J498">
        <v>3</v>
      </c>
      <c r="K498">
        <v>7865</v>
      </c>
      <c r="L498">
        <v>23595</v>
      </c>
      <c r="M498" s="1" t="s">
        <v>38</v>
      </c>
      <c r="N498" s="1" t="s">
        <v>46</v>
      </c>
      <c r="O498" t="str">
        <f>TEXT(SalesDataset[[#This Row],[Order_Date]],"mmm")</f>
        <v>Feb</v>
      </c>
      <c r="P498" s="1" t="str">
        <f>TEXT(SalesDataset[[#This Row],[Order_Date]],"YYYY")</f>
        <v>2026</v>
      </c>
      <c r="Q498" s="1" t="str">
        <f>_xlfn.TEXTJOIN(" ",TRUE,SalesDataset[[#This Row],[First_Name]],SalesDataset[[#This Row],[Last_Name]])</f>
        <v>Martin Potts</v>
      </c>
    </row>
    <row r="499" spans="1:17" x14ac:dyDescent="0.25">
      <c r="A499" s="1" t="s">
        <v>1955</v>
      </c>
      <c r="B499" s="2">
        <v>46115</v>
      </c>
      <c r="C499" s="1" t="s">
        <v>633</v>
      </c>
      <c r="D499" s="1" t="s">
        <v>1956</v>
      </c>
      <c r="E499" s="1" t="s">
        <v>1957</v>
      </c>
      <c r="F499" s="1" t="s">
        <v>1958</v>
      </c>
      <c r="G499" s="1" t="s">
        <v>29</v>
      </c>
      <c r="H499" s="1" t="s">
        <v>30</v>
      </c>
      <c r="I499" s="1" t="s">
        <v>21</v>
      </c>
      <c r="J499">
        <v>5</v>
      </c>
      <c r="K499">
        <v>69921</v>
      </c>
      <c r="L499">
        <v>349605</v>
      </c>
      <c r="M499" s="1" t="s">
        <v>74</v>
      </c>
      <c r="N499" s="1" t="s">
        <v>46</v>
      </c>
      <c r="O499" t="str">
        <f>TEXT(SalesDataset[[#This Row],[Order_Date]],"mmm")</f>
        <v>Apr</v>
      </c>
      <c r="P499" s="1" t="str">
        <f>TEXT(SalesDataset[[#This Row],[Order_Date]],"YYYY")</f>
        <v>2026</v>
      </c>
      <c r="Q499" s="1" t="str">
        <f>_xlfn.TEXTJOIN(" ",TRUE,SalesDataset[[#This Row],[First_Name]],SalesDataset[[#This Row],[Last_Name]])</f>
        <v>Valerie Lawson</v>
      </c>
    </row>
    <row r="500" spans="1:17" x14ac:dyDescent="0.25">
      <c r="A500" s="1" t="s">
        <v>1959</v>
      </c>
      <c r="B500" s="2">
        <v>45800</v>
      </c>
      <c r="C500" s="1" t="s">
        <v>1943</v>
      </c>
      <c r="D500" s="1" t="s">
        <v>1691</v>
      </c>
      <c r="E500" s="1" t="s">
        <v>1960</v>
      </c>
      <c r="F500" s="1" t="s">
        <v>1961</v>
      </c>
      <c r="G500" s="1" t="s">
        <v>19</v>
      </c>
      <c r="H500" s="1" t="s">
        <v>80</v>
      </c>
      <c r="I500" s="1" t="s">
        <v>21</v>
      </c>
      <c r="J500">
        <v>1</v>
      </c>
      <c r="K500">
        <v>38857</v>
      </c>
      <c r="L500">
        <v>38857</v>
      </c>
      <c r="M500" s="1" t="s">
        <v>63</v>
      </c>
      <c r="N500" s="1" t="s">
        <v>46</v>
      </c>
      <c r="O500" t="str">
        <f>TEXT(SalesDataset[[#This Row],[Order_Date]],"mmm")</f>
        <v>May</v>
      </c>
      <c r="P500" s="1" t="str">
        <f>TEXT(SalesDataset[[#This Row],[Order_Date]],"YYYY")</f>
        <v>2025</v>
      </c>
      <c r="Q500" s="1" t="str">
        <f>_xlfn.TEXTJOIN(" ",TRUE,SalesDataset[[#This Row],[First_Name]],SalesDataset[[#This Row],[Last_Name]])</f>
        <v>Brenda Duncan</v>
      </c>
    </row>
    <row r="501" spans="1:17" x14ac:dyDescent="0.25">
      <c r="A501" s="1" t="s">
        <v>1962</v>
      </c>
      <c r="B501" s="2">
        <v>46122</v>
      </c>
      <c r="C501" s="1" t="s">
        <v>1963</v>
      </c>
      <c r="D501" s="1" t="s">
        <v>1964</v>
      </c>
      <c r="E501" s="1" t="s">
        <v>945</v>
      </c>
      <c r="F501" s="1" t="s">
        <v>1965</v>
      </c>
      <c r="G501" s="1" t="s">
        <v>29</v>
      </c>
      <c r="H501" s="1" t="s">
        <v>37</v>
      </c>
      <c r="I501" s="1" t="s">
        <v>21</v>
      </c>
      <c r="J501">
        <v>1</v>
      </c>
      <c r="K501">
        <v>7041</v>
      </c>
      <c r="L501">
        <v>7041</v>
      </c>
      <c r="M501" s="1" t="s">
        <v>63</v>
      </c>
      <c r="N501" s="1" t="s">
        <v>46</v>
      </c>
      <c r="O501" t="str">
        <f>TEXT(SalesDataset[[#This Row],[Order_Date]],"mmm")</f>
        <v>Apr</v>
      </c>
      <c r="P501" s="1" t="str">
        <f>TEXT(SalesDataset[[#This Row],[Order_Date]],"YYYY")</f>
        <v>2026</v>
      </c>
      <c r="Q501" s="1" t="str">
        <f>_xlfn.TEXTJOIN(" ",TRUE,SalesDataset[[#This Row],[First_Name]],SalesDataset[[#This Row],[Last_Name]])</f>
        <v>Dr. Anthony Reyes DVM</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787A1F-FA43-4DCE-A4D6-2FFABC3D18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Pivot_Region</vt:lpstr>
      <vt:lpstr>Pivot_Product</vt:lpstr>
      <vt:lpstr>Pivot_Monthly</vt:lpstr>
      <vt:lpstr>Sales_Dashboard</vt:lpstr>
      <vt:lpstr>Pivot_Totalsales</vt:lpstr>
      <vt:lpstr>Pivot_Customers</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2026-05-02T17:19:06Z</dcterms:modified>
</cp:coreProperties>
</file>